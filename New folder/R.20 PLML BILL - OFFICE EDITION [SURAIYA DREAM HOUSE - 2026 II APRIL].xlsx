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BUL KHAIR\GAS BILL MAY\SURAIYA DREAM\"/>
    </mc:Choice>
  </mc:AlternateContent>
  <xr:revisionPtr revIDLastSave="0" documentId="13_ncr:1_{990B7DF7-47D0-4539-8557-0660D1167D1C}" xr6:coauthVersionLast="47" xr6:coauthVersionMax="47" xr10:uidLastSave="{00000000-0000-0000-0000-000000000000}"/>
  <bookViews>
    <workbookView xWindow="11220" yWindow="45" windowWidth="9465" windowHeight="10755" firstSheet="1" activeTab="1" xr2:uid="{00000000-000D-0000-FFFF-FFFF00000000}"/>
  </bookViews>
  <sheets>
    <sheet name="INITIAL" sheetId="1" state="hidden" r:id="rId1"/>
    <sheet name="R, C &amp; BILL" sheetId="2" r:id="rId2"/>
    <sheet name="PAYMENT RECORD" sheetId="4" r:id="rId3"/>
    <sheet name="CUSTOMER DETAILS" sheetId="5" r:id="rId4"/>
  </sheets>
  <definedNames>
    <definedName name="_xlnm._FilterDatabase" localSheetId="2" hidden="1">'PAYMENT RECORD'!$A$1:$AB$21</definedName>
    <definedName name="_xlnm._FilterDatabase" localSheetId="1" hidden="1">'R, C &amp; BILL'!$A$9:$BL$18</definedName>
    <definedName name="_xlnm.Print_Area" localSheetId="2">'PAYMENT RECORD'!$A$1:$AB$16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1" i="2" l="1"/>
  <c r="V12" i="2"/>
  <c r="V13" i="2"/>
  <c r="V14" i="2"/>
  <c r="V15" i="2"/>
  <c r="V16" i="2"/>
  <c r="V17" i="2"/>
  <c r="V18" i="2"/>
  <c r="V10" i="2"/>
  <c r="R11" i="2" l="1"/>
  <c r="R12" i="2"/>
  <c r="R13" i="2"/>
  <c r="R14" i="2"/>
  <c r="R15" i="2"/>
  <c r="R16" i="2"/>
  <c r="R17" i="2"/>
  <c r="R18" i="2"/>
  <c r="Q14" i="2"/>
  <c r="M14" i="2"/>
  <c r="L14" i="2"/>
  <c r="H16" i="2"/>
  <c r="I16" i="2" s="1"/>
  <c r="H18" i="2"/>
  <c r="I18" i="2" s="1"/>
  <c r="F11" i="2"/>
  <c r="G11" i="2" s="1"/>
  <c r="F12" i="2"/>
  <c r="G12" i="2" s="1"/>
  <c r="H12" i="2" s="1"/>
  <c r="F15" i="2"/>
  <c r="G15" i="2" s="1"/>
  <c r="F17" i="2"/>
  <c r="F18" i="2"/>
  <c r="G18" i="2" s="1"/>
  <c r="G13" i="2"/>
  <c r="G14" i="2"/>
  <c r="G16" i="2"/>
  <c r="G17" i="2"/>
  <c r="H17" i="2" s="1"/>
  <c r="G10" i="2"/>
  <c r="H10" i="2" s="1"/>
  <c r="BG24" i="2"/>
  <c r="I15" i="2" l="1"/>
  <c r="H15" i="2"/>
  <c r="H14" i="2"/>
  <c r="I14" i="2" s="1"/>
  <c r="H13" i="2"/>
  <c r="I13" i="2" s="1"/>
  <c r="I12" i="2"/>
  <c r="I17" i="2"/>
  <c r="H11" i="2"/>
  <c r="I11" i="2" s="1"/>
  <c r="BJ13" i="2"/>
  <c r="BJ14" i="2"/>
  <c r="BI11" i="2"/>
  <c r="BJ11" i="2" s="1"/>
  <c r="BI12" i="2"/>
  <c r="BJ12" i="2" s="1"/>
  <c r="BI13" i="2"/>
  <c r="BI14" i="2"/>
  <c r="BI15" i="2"/>
  <c r="BJ15" i="2" s="1"/>
  <c r="BI16" i="2"/>
  <c r="BJ16" i="2" s="1"/>
  <c r="BI17" i="2"/>
  <c r="BJ17" i="2" s="1"/>
  <c r="BI18" i="2"/>
  <c r="BJ18" i="2" s="1"/>
  <c r="BK18" i="2" s="1"/>
  <c r="BI10" i="2"/>
  <c r="BJ10" i="2" s="1"/>
  <c r="BK14" i="2" l="1"/>
  <c r="BL14" i="2" s="1"/>
  <c r="AM12" i="4" s="1"/>
  <c r="BK13" i="2"/>
  <c r="BL13" i="2" s="1"/>
  <c r="AM11" i="4" s="1"/>
  <c r="BJ19" i="2"/>
  <c r="BL18" i="2"/>
  <c r="AM16" i="4" s="1"/>
  <c r="BK17" i="2"/>
  <c r="BL17" i="2" s="1"/>
  <c r="AM15" i="4" s="1"/>
  <c r="BK16" i="2"/>
  <c r="BL16" i="2" s="1"/>
  <c r="AM14" i="4" s="1"/>
  <c r="BK15" i="2"/>
  <c r="BL15" i="2"/>
  <c r="AM13" i="4" s="1"/>
  <c r="BK12" i="2"/>
  <c r="BL12" i="2" s="1"/>
  <c r="AM10" i="4" s="1"/>
  <c r="BK11" i="2"/>
  <c r="BL11" i="2" s="1"/>
  <c r="AM9" i="4" s="1"/>
  <c r="BK10" i="2"/>
  <c r="BD11" i="2"/>
  <c r="BE11" i="2" s="1"/>
  <c r="BF11" i="2" s="1"/>
  <c r="BD12" i="2"/>
  <c r="BE12" i="2" s="1"/>
  <c r="BF12" i="2" s="1"/>
  <c r="BD13" i="2"/>
  <c r="BE13" i="2" s="1"/>
  <c r="BF13" i="2" s="1"/>
  <c r="BD14" i="2"/>
  <c r="BE14" i="2" s="1"/>
  <c r="BF14" i="2" s="1"/>
  <c r="BD15" i="2"/>
  <c r="BE15" i="2" s="1"/>
  <c r="BF15" i="2" s="1"/>
  <c r="BD16" i="2"/>
  <c r="BE16" i="2" s="1"/>
  <c r="BF16" i="2" s="1"/>
  <c r="BE17" i="2"/>
  <c r="BF17" i="2" s="1"/>
  <c r="BE18" i="2"/>
  <c r="BF18" i="2" s="1"/>
  <c r="AZ17" i="2"/>
  <c r="AZ14" i="2"/>
  <c r="BA14" i="2" s="1"/>
  <c r="BB14" i="2" s="1"/>
  <c r="AI12" i="4" s="1"/>
  <c r="AZ11" i="2"/>
  <c r="AZ10" i="2"/>
  <c r="BD10" i="2"/>
  <c r="BE10" i="2" s="1"/>
  <c r="BF10" i="2" s="1"/>
  <c r="AZ12" i="2"/>
  <c r="BA12" i="2" s="1"/>
  <c r="AZ13" i="2"/>
  <c r="AZ18" i="2"/>
  <c r="AZ15" i="2"/>
  <c r="BA15" i="2" s="1"/>
  <c r="AZ16" i="2"/>
  <c r="P11" i="2"/>
  <c r="P12" i="2"/>
  <c r="Q12" i="2" s="1"/>
  <c r="P13" i="2"/>
  <c r="Q13" i="2" s="1"/>
  <c r="P14" i="2"/>
  <c r="P15" i="2"/>
  <c r="P16" i="2"/>
  <c r="P17" i="2"/>
  <c r="Q17" i="2" s="1"/>
  <c r="P18" i="2"/>
  <c r="Q18" i="2" s="1"/>
  <c r="K11" i="2"/>
  <c r="L11" i="2" s="1"/>
  <c r="M11" i="2" s="1"/>
  <c r="K12" i="2"/>
  <c r="L12" i="2" s="1"/>
  <c r="M12" i="2" s="1"/>
  <c r="K13" i="2"/>
  <c r="L13" i="2" s="1"/>
  <c r="K14" i="2"/>
  <c r="K15" i="2"/>
  <c r="L15" i="2" s="1"/>
  <c r="M15" i="2" s="1"/>
  <c r="K16" i="2"/>
  <c r="L16" i="2" s="1"/>
  <c r="M16" i="2" s="1"/>
  <c r="K17" i="2"/>
  <c r="L17" i="2" s="1"/>
  <c r="M17" i="2" s="1"/>
  <c r="K18" i="2"/>
  <c r="L18" i="2" s="1"/>
  <c r="E11" i="4"/>
  <c r="E12" i="4"/>
  <c r="AE11" i="2"/>
  <c r="AE12" i="2"/>
  <c r="AE13" i="2"/>
  <c r="AE14" i="2"/>
  <c r="AE15" i="2"/>
  <c r="AE16" i="2"/>
  <c r="AE17" i="2"/>
  <c r="AE18" i="2"/>
  <c r="Q16" i="2" l="1"/>
  <c r="Q15" i="2"/>
  <c r="Q11" i="2"/>
  <c r="M13" i="2"/>
  <c r="N13" i="2" s="1"/>
  <c r="G11" i="4" s="1"/>
  <c r="M18" i="2"/>
  <c r="N12" i="2"/>
  <c r="G10" i="4" s="1"/>
  <c r="BL10" i="2"/>
  <c r="BK19" i="2"/>
  <c r="BE19" i="2"/>
  <c r="BD19" i="2"/>
  <c r="N14" i="2"/>
  <c r="G12" i="4" s="1"/>
  <c r="N16" i="2"/>
  <c r="G14" i="4" s="1"/>
  <c r="N11" i="2"/>
  <c r="G9" i="4" s="1"/>
  <c r="BG15" i="2"/>
  <c r="AZ19" i="2"/>
  <c r="AY19" i="2"/>
  <c r="BG18" i="2"/>
  <c r="BG17" i="2"/>
  <c r="BG16" i="2"/>
  <c r="BG14" i="2"/>
  <c r="BG13" i="2"/>
  <c r="BG12" i="2"/>
  <c r="BG11" i="2"/>
  <c r="BG10" i="2"/>
  <c r="E14" i="4"/>
  <c r="E13" i="4"/>
  <c r="E15" i="4"/>
  <c r="E10" i="4"/>
  <c r="N15" i="2"/>
  <c r="G13" i="4" s="1"/>
  <c r="BA10" i="2"/>
  <c r="BA11" i="2"/>
  <c r="BB11" i="2" s="1"/>
  <c r="AI9" i="4" s="1"/>
  <c r="E16" i="4"/>
  <c r="E9" i="4"/>
  <c r="BA17" i="2"/>
  <c r="BB17" i="2" s="1"/>
  <c r="AI15" i="4" s="1"/>
  <c r="BB15" i="2"/>
  <c r="AI13" i="4" s="1"/>
  <c r="BB12" i="2"/>
  <c r="AI10" i="4" s="1"/>
  <c r="BA18" i="2"/>
  <c r="BB18" i="2" s="1"/>
  <c r="AI16" i="4" s="1"/>
  <c r="BA16" i="2"/>
  <c r="BB16" i="2" s="1"/>
  <c r="AI14" i="4" s="1"/>
  <c r="BA13" i="2"/>
  <c r="BB13" i="2" s="1"/>
  <c r="AI11" i="4" s="1"/>
  <c r="N18" i="2"/>
  <c r="N17" i="2"/>
  <c r="G15" i="4" s="1"/>
  <c r="AT11" i="2"/>
  <c r="AU11" i="2" s="1"/>
  <c r="AT12" i="2"/>
  <c r="AU12" i="2" s="1"/>
  <c r="AV12" i="2" s="1"/>
  <c r="AT13" i="2"/>
  <c r="AU13" i="2" s="1"/>
  <c r="AV13" i="2" s="1"/>
  <c r="AT14" i="2"/>
  <c r="AU14" i="2" s="1"/>
  <c r="AT15" i="2"/>
  <c r="AU15" i="2" s="1"/>
  <c r="AT16" i="2"/>
  <c r="AU16" i="2" s="1"/>
  <c r="AT17" i="2"/>
  <c r="AU17" i="2" s="1"/>
  <c r="AT18" i="2"/>
  <c r="AU18" i="2" s="1"/>
  <c r="AT10" i="2"/>
  <c r="AU10" i="2" s="1"/>
  <c r="AV10" i="2" s="1"/>
  <c r="AW10" i="2" s="1"/>
  <c r="AO11" i="2"/>
  <c r="AP11" i="2" s="1"/>
  <c r="AQ11" i="2" s="1"/>
  <c r="AO12" i="2"/>
  <c r="AP12" i="2" s="1"/>
  <c r="AO13" i="2"/>
  <c r="AP13" i="2" s="1"/>
  <c r="AO14" i="2"/>
  <c r="AO15" i="2"/>
  <c r="AP15" i="2" s="1"/>
  <c r="AQ15" i="2" s="1"/>
  <c r="AO16" i="2"/>
  <c r="AP16" i="2" s="1"/>
  <c r="AO17" i="2"/>
  <c r="AP17" i="2" s="1"/>
  <c r="AO18" i="2"/>
  <c r="AP18" i="2" s="1"/>
  <c r="AQ18" i="2" s="1"/>
  <c r="AO10" i="2"/>
  <c r="AP10" i="2" s="1"/>
  <c r="AQ10" i="2" s="1"/>
  <c r="AJ11" i="2"/>
  <c r="AK11" i="2" s="1"/>
  <c r="AJ12" i="2"/>
  <c r="AK12" i="2" s="1"/>
  <c r="AJ13" i="2"/>
  <c r="AK13" i="2" s="1"/>
  <c r="AJ14" i="2"/>
  <c r="AK14" i="2" s="1"/>
  <c r="AJ15" i="2"/>
  <c r="AK15" i="2" s="1"/>
  <c r="AJ16" i="2"/>
  <c r="AK16" i="2" s="1"/>
  <c r="AL16" i="2" s="1"/>
  <c r="AJ17" i="2"/>
  <c r="AK17" i="2" s="1"/>
  <c r="AJ18" i="2"/>
  <c r="AK18" i="2" s="1"/>
  <c r="AF11" i="2"/>
  <c r="AF13" i="2"/>
  <c r="AG13" i="2" s="1"/>
  <c r="AH13" i="2" s="1"/>
  <c r="AF15" i="2"/>
  <c r="AF16" i="2"/>
  <c r="AF12" i="2"/>
  <c r="AF14" i="2"/>
  <c r="AF17" i="2"/>
  <c r="AF18" i="2"/>
  <c r="D8" i="4"/>
  <c r="C8" i="4"/>
  <c r="G16" i="4" l="1"/>
  <c r="BL19" i="2"/>
  <c r="AM8" i="4"/>
  <c r="BA19" i="2"/>
  <c r="BB10" i="2"/>
  <c r="AI8" i="4" s="1"/>
  <c r="S17" i="2"/>
  <c r="I15" i="4" s="1"/>
  <c r="S14" i="2"/>
  <c r="I12" i="4" s="1"/>
  <c r="S18" i="2"/>
  <c r="I16" i="4" s="1"/>
  <c r="AL11" i="2"/>
  <c r="AM11" i="2" s="1"/>
  <c r="O9" i="4" s="1"/>
  <c r="AG8" i="4"/>
  <c r="S16" i="2"/>
  <c r="I14" i="4" s="1"/>
  <c r="S15" i="2"/>
  <c r="I13" i="4" s="1"/>
  <c r="AV11" i="2"/>
  <c r="AW11" i="2" s="1"/>
  <c r="AG9" i="4" s="1"/>
  <c r="AK9" i="4"/>
  <c r="AR10" i="2"/>
  <c r="AV17" i="2"/>
  <c r="AW17" i="2" s="1"/>
  <c r="AG15" i="4" s="1"/>
  <c r="AV16" i="2"/>
  <c r="AW16" i="2" s="1"/>
  <c r="AG14" i="4" s="1"/>
  <c r="AK11" i="4"/>
  <c r="AQ17" i="2"/>
  <c r="AR17" i="2" s="1"/>
  <c r="AQ16" i="2"/>
  <c r="AR16" i="2" s="1"/>
  <c r="AG11" i="2"/>
  <c r="AH11" i="2" s="1"/>
  <c r="AG17" i="2"/>
  <c r="AH17" i="2" s="1"/>
  <c r="AL17" i="2"/>
  <c r="AM17" i="2" s="1"/>
  <c r="O15" i="4" s="1"/>
  <c r="AM16" i="2"/>
  <c r="O14" i="4" s="1"/>
  <c r="AG16" i="2"/>
  <c r="AH16" i="2" s="1"/>
  <c r="AL12" i="2"/>
  <c r="AM12" i="2" s="1"/>
  <c r="O10" i="4" s="1"/>
  <c r="AV18" i="2"/>
  <c r="AW18" i="2" s="1"/>
  <c r="AG16" i="4" s="1"/>
  <c r="AV15" i="2"/>
  <c r="AW15" i="2" s="1"/>
  <c r="AG13" i="4" s="1"/>
  <c r="AV14" i="2"/>
  <c r="AW14" i="2" s="1"/>
  <c r="AG12" i="4" s="1"/>
  <c r="AU19" i="2"/>
  <c r="AW13" i="2"/>
  <c r="AG11" i="4" s="1"/>
  <c r="AW12" i="2"/>
  <c r="AG10" i="4" s="1"/>
  <c r="AK14" i="4"/>
  <c r="AK15" i="4"/>
  <c r="AK8" i="4"/>
  <c r="AO19" i="2"/>
  <c r="AK16" i="4"/>
  <c r="AR18" i="2"/>
  <c r="AK13" i="4"/>
  <c r="AK12" i="4"/>
  <c r="AP14" i="2"/>
  <c r="AQ14" i="2" s="1"/>
  <c r="AQ13" i="2"/>
  <c r="AR13" i="2" s="1"/>
  <c r="AQ12" i="2"/>
  <c r="AK10" i="4"/>
  <c r="AR11" i="2"/>
  <c r="AR15" i="2"/>
  <c r="AG18" i="2"/>
  <c r="AH18" i="2" s="1"/>
  <c r="AL18" i="2"/>
  <c r="AM18" i="2" s="1"/>
  <c r="O16" i="4" s="1"/>
  <c r="AG15" i="2"/>
  <c r="AH15" i="2" s="1"/>
  <c r="AL15" i="2"/>
  <c r="AM15" i="2" s="1"/>
  <c r="O13" i="4" s="1"/>
  <c r="AG14" i="2"/>
  <c r="AH14" i="2" s="1"/>
  <c r="AL14" i="2"/>
  <c r="AM14" i="2" s="1"/>
  <c r="O12" i="4" s="1"/>
  <c r="AL13" i="2"/>
  <c r="AM13" i="2" s="1"/>
  <c r="O11" i="4" s="1"/>
  <c r="AG12" i="2"/>
  <c r="AH12" i="2" s="1"/>
  <c r="AJ10" i="2"/>
  <c r="U11" i="2"/>
  <c r="U12" i="2"/>
  <c r="U13" i="2"/>
  <c r="W13" i="2" s="1"/>
  <c r="X13" i="2" s="1"/>
  <c r="K11" i="4" s="1"/>
  <c r="U14" i="2"/>
  <c r="U15" i="2"/>
  <c r="W15" i="2" s="1"/>
  <c r="X15" i="2" s="1"/>
  <c r="K13" i="4" s="1"/>
  <c r="U16" i="2"/>
  <c r="U17" i="2"/>
  <c r="U18" i="2"/>
  <c r="AC15" i="4" l="1"/>
  <c r="AE15" i="4"/>
  <c r="AC13" i="4"/>
  <c r="AE13" i="4"/>
  <c r="AC9" i="4"/>
  <c r="AE9" i="4"/>
  <c r="AE11" i="4"/>
  <c r="AC11" i="4"/>
  <c r="AC14" i="4"/>
  <c r="AE14" i="4"/>
  <c r="AC16" i="4"/>
  <c r="AE16" i="4"/>
  <c r="BB19" i="2"/>
  <c r="AI17" i="4"/>
  <c r="S12" i="2"/>
  <c r="I10" i="4" s="1"/>
  <c r="AE8" i="4"/>
  <c r="AC8" i="4"/>
  <c r="S11" i="2"/>
  <c r="I9" i="4" s="1"/>
  <c r="AK10" i="2"/>
  <c r="AL10" i="2" s="1"/>
  <c r="AM10" i="2" s="1"/>
  <c r="O8" i="4" s="1"/>
  <c r="S13" i="2"/>
  <c r="I11" i="4" s="1"/>
  <c r="AV19" i="2"/>
  <c r="AP19" i="2"/>
  <c r="AJ19" i="2"/>
  <c r="AW19" i="2"/>
  <c r="AQ19" i="2"/>
  <c r="AK17" i="4"/>
  <c r="AR12" i="2"/>
  <c r="AR14" i="2"/>
  <c r="W12" i="2"/>
  <c r="X12" i="2" s="1"/>
  <c r="K10" i="4" s="1"/>
  <c r="W11" i="2"/>
  <c r="X11" i="2" s="1"/>
  <c r="K9" i="4" s="1"/>
  <c r="W16" i="2"/>
  <c r="X16" i="2" s="1"/>
  <c r="K14" i="4" s="1"/>
  <c r="W14" i="2"/>
  <c r="X14" i="2" s="1"/>
  <c r="K12" i="4" s="1"/>
  <c r="W18" i="2"/>
  <c r="X18" i="2" s="1"/>
  <c r="K16" i="4" s="1"/>
  <c r="W17" i="2"/>
  <c r="K10" i="2"/>
  <c r="L10" i="2" s="1"/>
  <c r="M10" i="2" l="1"/>
  <c r="M19" i="2" s="1"/>
  <c r="L19" i="2"/>
  <c r="AE12" i="4"/>
  <c r="AC12" i="4"/>
  <c r="AE10" i="4"/>
  <c r="AC10" i="4"/>
  <c r="AK19" i="2"/>
  <c r="AM17" i="4"/>
  <c r="AL19" i="2"/>
  <c r="AM19" i="2"/>
  <c r="X17" i="2"/>
  <c r="K15" i="4" s="1"/>
  <c r="AE17" i="4" l="1"/>
  <c r="AC17" i="4"/>
  <c r="I10" i="2" l="1"/>
  <c r="P10" i="2"/>
  <c r="Q10" i="2" s="1"/>
  <c r="R10" i="2" s="1"/>
  <c r="U10" i="2"/>
  <c r="Z10" i="2"/>
  <c r="AA10" i="2" s="1"/>
  <c r="AE10" i="2"/>
  <c r="S10" i="2" l="1"/>
  <c r="AF10" i="2"/>
  <c r="AB10" i="2"/>
  <c r="AC10" i="2" s="1"/>
  <c r="U19" i="2"/>
  <c r="E8" i="4"/>
  <c r="Z18" i="2"/>
  <c r="AA18" i="2" s="1"/>
  <c r="Z17" i="2"/>
  <c r="AA17" i="2" s="1"/>
  <c r="Y14" i="4"/>
  <c r="Z16" i="2"/>
  <c r="AA16" i="2" s="1"/>
  <c r="Z15" i="2"/>
  <c r="AA15" i="2" s="1"/>
  <c r="Z14" i="2"/>
  <c r="AA14" i="2" s="1"/>
  <c r="Z13" i="2"/>
  <c r="AA13" i="2" s="1"/>
  <c r="Z12" i="2"/>
  <c r="AA12" i="2" s="1"/>
  <c r="Z11" i="2"/>
  <c r="AA11" i="2" s="1"/>
  <c r="N10" i="2" l="1"/>
  <c r="AG17" i="4"/>
  <c r="AG10" i="2"/>
  <c r="AH10" i="2" s="1"/>
  <c r="AF19" i="2"/>
  <c r="AE19" i="2"/>
  <c r="AA19" i="2"/>
  <c r="AB15" i="2"/>
  <c r="AC15" i="2" s="1"/>
  <c r="M13" i="4" s="1"/>
  <c r="AB18" i="2"/>
  <c r="AC18" i="2" s="1"/>
  <c r="M16" i="4" s="1"/>
  <c r="AB17" i="2"/>
  <c r="AC17" i="2" s="1"/>
  <c r="M15" i="4" s="1"/>
  <c r="AB16" i="2"/>
  <c r="AC16" i="2" s="1"/>
  <c r="M14" i="4" s="1"/>
  <c r="AB14" i="2"/>
  <c r="AC14" i="2" s="1"/>
  <c r="M12" i="4" s="1"/>
  <c r="AB13" i="2"/>
  <c r="AC13" i="2" s="1"/>
  <c r="M11" i="4" s="1"/>
  <c r="AB12" i="2"/>
  <c r="AC12" i="2" s="1"/>
  <c r="M10" i="4" s="1"/>
  <c r="AB11" i="2"/>
  <c r="AC11" i="2" s="1"/>
  <c r="M9" i="4" s="1"/>
  <c r="V19" i="2"/>
  <c r="W10" i="2"/>
  <c r="P19" i="2"/>
  <c r="AA12" i="4"/>
  <c r="Y13" i="4"/>
  <c r="AA14" i="4"/>
  <c r="AA9" i="4"/>
  <c r="AA11" i="4"/>
  <c r="AA13" i="4"/>
  <c r="BF19" i="2"/>
  <c r="AA10" i="4"/>
  <c r="Y12" i="4"/>
  <c r="Y10" i="4"/>
  <c r="U13" i="4"/>
  <c r="U9" i="4"/>
  <c r="W9" i="4"/>
  <c r="W13" i="4"/>
  <c r="W12" i="4"/>
  <c r="W11" i="4"/>
  <c r="W10" i="4"/>
  <c r="U14" i="4"/>
  <c r="U12" i="4"/>
  <c r="U11" i="4"/>
  <c r="U10" i="4"/>
  <c r="S9" i="4"/>
  <c r="M8" i="4"/>
  <c r="Z19" i="2"/>
  <c r="Q9" i="4"/>
  <c r="Q13" i="4"/>
  <c r="S13" i="4"/>
  <c r="S14" i="4"/>
  <c r="S12" i="4"/>
  <c r="S11" i="4"/>
  <c r="S10" i="4"/>
  <c r="Q14" i="4"/>
  <c r="Q12" i="4"/>
  <c r="Q11" i="4"/>
  <c r="Q10" i="4"/>
  <c r="Y9" i="4"/>
  <c r="I8" i="4"/>
  <c r="AA8" i="4"/>
  <c r="F19" i="2"/>
  <c r="K19" i="2"/>
  <c r="G8" i="4" l="1"/>
  <c r="N19" i="2"/>
  <c r="N22" i="2" s="1"/>
  <c r="N24" i="2" s="1"/>
  <c r="AG19" i="2"/>
  <c r="AH19" i="2"/>
  <c r="AB19" i="2"/>
  <c r="AC19" i="2"/>
  <c r="X10" i="2"/>
  <c r="W19" i="2"/>
  <c r="Q19" i="2"/>
  <c r="G19" i="2"/>
  <c r="BG19" i="2"/>
  <c r="AA17" i="4"/>
  <c r="Y11" i="4"/>
  <c r="Y17" i="4" s="1"/>
  <c r="W14" i="4"/>
  <c r="W17" i="4" s="1"/>
  <c r="U17" i="4"/>
  <c r="M17" i="4"/>
  <c r="AR19" i="2"/>
  <c r="S17" i="4"/>
  <c r="Q17" i="4"/>
  <c r="O17" i="4" l="1"/>
  <c r="X19" i="2"/>
  <c r="K8" i="4"/>
  <c r="K17" i="4" s="1"/>
  <c r="R19" i="2"/>
  <c r="G17" i="4"/>
  <c r="E17" i="4"/>
  <c r="I19" i="2"/>
  <c r="I22" i="2" s="1"/>
  <c r="I24" i="2" s="1"/>
  <c r="H19" i="2"/>
  <c r="S19" i="2" l="1"/>
  <c r="I17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24" authorId="0" shapeId="0" xr:uid="{00000000-0006-0000-0000-000001000000}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66 KG GAS CONSUMED. NEED TO CHECK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12" authorId="0" shapeId="0" xr:uid="{7058112F-6AEA-4243-B75C-44A1908109E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EI METER ER READING VUL CHILO. JANUARY TE 2338 TAKA BILL KORA HOISILO</t>
        </r>
      </text>
    </comment>
  </commentList>
</comments>
</file>

<file path=xl/sharedStrings.xml><?xml version="1.0" encoding="utf-8"?>
<sst xmlns="http://schemas.openxmlformats.org/spreadsheetml/2006/main" count="329" uniqueCount="192">
  <si>
    <t>URBAN GAZ</t>
  </si>
  <si>
    <t>PROJECT NAME: SIMCO</t>
  </si>
  <si>
    <t>INITIAL DATASET</t>
  </si>
  <si>
    <t>SL</t>
  </si>
  <si>
    <t>FLAT NUMBER</t>
  </si>
  <si>
    <t>METER READING [m3]</t>
  </si>
  <si>
    <t>NAME OF OWNER</t>
  </si>
  <si>
    <t>CONTACT</t>
  </si>
  <si>
    <t>REMARKS</t>
  </si>
  <si>
    <t>2A1</t>
  </si>
  <si>
    <t>3A1</t>
  </si>
  <si>
    <t>4A1</t>
  </si>
  <si>
    <t>5A1</t>
  </si>
  <si>
    <t>MR. MEHEDI HASAN</t>
  </si>
  <si>
    <t>(+880)1717083525</t>
  </si>
  <si>
    <t>7A1</t>
  </si>
  <si>
    <t>8A1</t>
  </si>
  <si>
    <t>9A1</t>
  </si>
  <si>
    <t>10A1</t>
  </si>
  <si>
    <t>11A1</t>
  </si>
  <si>
    <t>12A1</t>
  </si>
  <si>
    <t>2B1</t>
  </si>
  <si>
    <t>3B1</t>
  </si>
  <si>
    <t>4B1</t>
  </si>
  <si>
    <t>5B1</t>
  </si>
  <si>
    <t>6B1</t>
  </si>
  <si>
    <t>MRS. SHORNA RAY</t>
  </si>
  <si>
    <t>(+880)1729575057</t>
  </si>
  <si>
    <t>7B1</t>
  </si>
  <si>
    <t>MR. RAKIB</t>
  </si>
  <si>
    <t>(+880)1670226186</t>
  </si>
  <si>
    <t>8B1</t>
  </si>
  <si>
    <t>STARTED JUNE</t>
  </si>
  <si>
    <t>9B1</t>
  </si>
  <si>
    <t>10B1</t>
  </si>
  <si>
    <t>11B1</t>
  </si>
  <si>
    <t>2C1</t>
  </si>
  <si>
    <t>MR. HABIBUR RAHMAN</t>
  </si>
  <si>
    <t>3C1</t>
  </si>
  <si>
    <t>4C1</t>
  </si>
  <si>
    <t>5C1</t>
  </si>
  <si>
    <t>6C1</t>
  </si>
  <si>
    <t>MR. SHAMIM AKTER</t>
  </si>
  <si>
    <t>(+880)1716096841</t>
  </si>
  <si>
    <t>7C1</t>
  </si>
  <si>
    <t>MD. SHAHRIAR KAMAL</t>
  </si>
  <si>
    <t>(+880)1715977377</t>
  </si>
  <si>
    <t>8C1</t>
  </si>
  <si>
    <t>9C1</t>
  </si>
  <si>
    <t>10C1</t>
  </si>
  <si>
    <t>11C1</t>
  </si>
  <si>
    <t>12C1</t>
  </si>
  <si>
    <t>2A4</t>
  </si>
  <si>
    <t>3A4</t>
  </si>
  <si>
    <t>4A4</t>
  </si>
  <si>
    <t>MD. NIZAM UDDIN</t>
  </si>
  <si>
    <t>5A4</t>
  </si>
  <si>
    <t>6A4</t>
  </si>
  <si>
    <t>7A4</t>
  </si>
  <si>
    <t>8A4</t>
  </si>
  <si>
    <t>9A4</t>
  </si>
  <si>
    <t>SHEIKH KAMRUL HASAN</t>
  </si>
  <si>
    <t>(+880)1915372984</t>
  </si>
  <si>
    <t>10A4</t>
  </si>
  <si>
    <t>MR. MUSTAFA</t>
  </si>
  <si>
    <t>(+880)1707229066</t>
  </si>
  <si>
    <t>11A4</t>
  </si>
  <si>
    <t>12A4</t>
  </si>
  <si>
    <t>2B4</t>
  </si>
  <si>
    <t>3B4</t>
  </si>
  <si>
    <t>4B4</t>
  </si>
  <si>
    <t>5B4</t>
  </si>
  <si>
    <t>6B4</t>
  </si>
  <si>
    <t>7B4</t>
  </si>
  <si>
    <t>MISS. SINTHIA SATTAR</t>
  </si>
  <si>
    <t>(+880)1689773585</t>
  </si>
  <si>
    <t>STARTED MAY</t>
  </si>
  <si>
    <t>8B4</t>
  </si>
  <si>
    <t>9B4</t>
  </si>
  <si>
    <t>10B4</t>
  </si>
  <si>
    <t>11B4</t>
  </si>
  <si>
    <t>12B4</t>
  </si>
  <si>
    <t>2C4</t>
  </si>
  <si>
    <t>3C4</t>
  </si>
  <si>
    <t>4C4</t>
  </si>
  <si>
    <t>5C4</t>
  </si>
  <si>
    <t>6C4</t>
  </si>
  <si>
    <t>7C4</t>
  </si>
  <si>
    <t>8C4</t>
  </si>
  <si>
    <t>9C4</t>
  </si>
  <si>
    <t>10C4</t>
  </si>
  <si>
    <t>11C4</t>
  </si>
  <si>
    <t>12C4</t>
  </si>
  <si>
    <t>SL NO</t>
  </si>
  <si>
    <t>INITIAL METER READING</t>
  </si>
  <si>
    <t>READEING</t>
  </si>
  <si>
    <t>CONSUMPTION</t>
  </si>
  <si>
    <t>BILL [BDT]</t>
  </si>
  <si>
    <t>USES PER MONTH</t>
  </si>
  <si>
    <t xml:space="preserve"> </t>
  </si>
  <si>
    <t>FLAT DETAILS</t>
  </si>
  <si>
    <t>NAME</t>
  </si>
  <si>
    <t>PAYMENT</t>
  </si>
  <si>
    <t>OWNER</t>
  </si>
  <si>
    <t>TENANT</t>
  </si>
  <si>
    <t>CUSTOMER DETAILS</t>
  </si>
  <si>
    <t>NATIONAL ID NO</t>
  </si>
  <si>
    <t>CELL NO</t>
  </si>
  <si>
    <t>EMAIL</t>
  </si>
  <si>
    <t>PARMANENT ADDRESS</t>
  </si>
  <si>
    <t>EHSANUL KARIM SUNNY</t>
  </si>
  <si>
    <t>[19902699038000063]</t>
  </si>
  <si>
    <t>midu49bun@gmail.com</t>
  </si>
  <si>
    <t>HOUSE # 184, ROAD # 05, BLOCK # D, BASHUNDHARA RESIDENTIAL AREA</t>
  </si>
  <si>
    <t>CASH PAYMENT</t>
  </si>
  <si>
    <t>AMRAN HOSSAIN</t>
  </si>
  <si>
    <t>(+880)1792735556</t>
  </si>
  <si>
    <t>EMAIL2ARMAN@GMAIL.COM</t>
  </si>
  <si>
    <t>H#184; JAMIRA LATA; BJOLA SADAR; BHOLA</t>
  </si>
  <si>
    <t>JANUARY - 2025</t>
  </si>
  <si>
    <t>FEBRUARY - 2025</t>
  </si>
  <si>
    <t>MARCH - 2025</t>
  </si>
  <si>
    <t>APRIL - 2025</t>
  </si>
  <si>
    <t>MAY - 2025</t>
  </si>
  <si>
    <t>JUNE - 2025</t>
  </si>
  <si>
    <t>JULY - 2025</t>
  </si>
  <si>
    <t>AUGUST - 2025</t>
  </si>
  <si>
    <t>SEPTEMBER - 2025</t>
  </si>
  <si>
    <t>OCTOBER - 2025</t>
  </si>
  <si>
    <t>NOVEMBER - 2025</t>
  </si>
  <si>
    <t>DECEMBER - 2025</t>
  </si>
  <si>
    <t>GAS [BDT]</t>
  </si>
  <si>
    <t>M F [BDT]</t>
  </si>
  <si>
    <t>TOTAL BILL [BDT]</t>
  </si>
  <si>
    <t>UNIT PRICE @ XXX.XX TAKA/M3</t>
  </si>
  <si>
    <t>(+880)1672 593504</t>
  </si>
  <si>
    <t>1A</t>
  </si>
  <si>
    <t>2A</t>
  </si>
  <si>
    <t>3A</t>
  </si>
  <si>
    <t>4A</t>
  </si>
  <si>
    <t>5A</t>
  </si>
  <si>
    <t>6A</t>
  </si>
  <si>
    <t>7A</t>
  </si>
  <si>
    <t>8A</t>
  </si>
  <si>
    <t>9A</t>
  </si>
  <si>
    <t>1B</t>
  </si>
  <si>
    <t>2B</t>
  </si>
  <si>
    <t>3B</t>
  </si>
  <si>
    <t>4B</t>
  </si>
  <si>
    <t>5B</t>
  </si>
  <si>
    <t>6B</t>
  </si>
  <si>
    <t>7B</t>
  </si>
  <si>
    <t>8B</t>
  </si>
  <si>
    <t>9B</t>
  </si>
  <si>
    <t>1C</t>
  </si>
  <si>
    <t>2C</t>
  </si>
  <si>
    <t>3C</t>
  </si>
  <si>
    <t>4C</t>
  </si>
  <si>
    <t>5C</t>
  </si>
  <si>
    <t>6C</t>
  </si>
  <si>
    <t>7C</t>
  </si>
  <si>
    <t>8C</t>
  </si>
  <si>
    <t>9C</t>
  </si>
  <si>
    <t>GF</t>
  </si>
  <si>
    <t>UNIT PRICE @ 252.28 TAKA/M3</t>
  </si>
  <si>
    <t>UNIT PRICE @ 235.60 TAKA/M3</t>
  </si>
  <si>
    <t>UNIT PRICE @ 235.05 TAKA/M3</t>
  </si>
  <si>
    <t>UNIT PRICE @ 229.55 TAKA/M3</t>
  </si>
  <si>
    <t>URBAN GAZ @ KHILKHET</t>
  </si>
  <si>
    <t>PAYMENT RECORD - SURZO DREAM HOUSE</t>
  </si>
  <si>
    <t>CONSUMPTION DATA SHEET - SURZO DREAM HOUSE</t>
  </si>
  <si>
    <t>URBAN GAZ @ JOLSHIRI ABASHON</t>
  </si>
  <si>
    <t>UNIT PRICE @ 232 TAKA/M3</t>
  </si>
  <si>
    <t>UNIT PRICE @ 231.80 TAKA/M3</t>
  </si>
  <si>
    <t>UNPAID</t>
  </si>
  <si>
    <t>JANUARY - 2026</t>
  </si>
  <si>
    <t>UNIT PRICE @ 241.60 TAKA/M3</t>
  </si>
  <si>
    <t>UNIT PRICE @ 250.95 TAKA/M3</t>
  </si>
  <si>
    <t>FEBRUARY - 2026</t>
  </si>
  <si>
    <t>MARCH - 2026</t>
  </si>
  <si>
    <t>APRIL - 2026</t>
  </si>
  <si>
    <t>MAY - 2026</t>
  </si>
  <si>
    <t>JUNE - 2026</t>
  </si>
  <si>
    <t>JULY - 2026</t>
  </si>
  <si>
    <t>AUGUST - 2026</t>
  </si>
  <si>
    <t>SEPTEMBER - 2026</t>
  </si>
  <si>
    <t>OCTOBER - 2026</t>
  </si>
  <si>
    <t>NOVEMBER - 2026</t>
  </si>
  <si>
    <t>DECEMBER - 2026</t>
  </si>
  <si>
    <t>UNIT PRICE @ 248.06 TAKA/M3</t>
  </si>
  <si>
    <t xml:space="preserve">                                                                                                                                                                                         </t>
  </si>
  <si>
    <t>UNIT PRICE @ 358.90 TAKA/M3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</si>
</sst>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_ 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rgb="FFFFFF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rgb="FF80008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C000"/>
      <name val="Calibri"/>
      <family val="2"/>
      <scheme val="minor"/>
    </font>
    <font>
      <sz val="11"/>
      <color rgb="FF006100"/>
      <name val="Calibri"/>
      <family val="2"/>
      <scheme val="minor"/>
    </font>
    <font>
      <sz val="9"/>
      <name val="Tahoma"/>
      <family val="2"/>
    </font>
    <font>
      <b/>
      <sz val="9"/>
      <name val="Tahoma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2C50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7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/>
    <xf numFmtId="43" fontId="19" fillId="0" borderId="0" applyFont="0" applyFill="0" applyBorder="0" applyAlignment="0" applyProtection="0"/>
  </cellStyleXfs>
  <cellXfs count="136">
    <xf numFmtId="0" fontId="0" fillId="0" borderId="0" xfId="0"/>
    <xf numFmtId="1" fontId="0" fillId="0" borderId="0" xfId="0" applyNumberFormat="1"/>
    <xf numFmtId="0" fontId="0" fillId="4" borderId="0" xfId="0" applyFill="1"/>
    <xf numFmtId="1" fontId="0" fillId="4" borderId="0" xfId="0" applyNumberFormat="1" applyFill="1"/>
    <xf numFmtId="0" fontId="5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1" fontId="5" fillId="5" borderId="2" xfId="0" applyNumberFormat="1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7" fillId="0" borderId="2" xfId="1" applyFill="1" applyBorder="1" applyAlignment="1">
      <alignment vertical="center"/>
    </xf>
    <xf numFmtId="0" fontId="0" fillId="0" borderId="2" xfId="0" applyBorder="1" applyAlignment="1">
      <alignment horizontal="right" vertical="center" wrapText="1"/>
    </xf>
    <xf numFmtId="0" fontId="9" fillId="0" borderId="2" xfId="1" applyFont="1" applyFill="1" applyBorder="1" applyAlignment="1">
      <alignment vertical="center" wrapText="1"/>
    </xf>
    <xf numFmtId="0" fontId="0" fillId="0" borderId="2" xfId="0" applyBorder="1" applyAlignment="1">
      <alignment horizontal="right" vertical="center"/>
    </xf>
    <xf numFmtId="0" fontId="4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2" fontId="0" fillId="9" borderId="2" xfId="0" applyNumberFormat="1" applyFill="1" applyBorder="1" applyAlignment="1">
      <alignment horizontal="right" vertical="center"/>
    </xf>
    <xf numFmtId="0" fontId="5" fillId="0" borderId="2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right" vertical="center"/>
    </xf>
    <xf numFmtId="2" fontId="5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right"/>
    </xf>
    <xf numFmtId="0" fontId="5" fillId="9" borderId="2" xfId="0" applyFont="1" applyFill="1" applyBorder="1" applyAlignment="1">
      <alignment horizontal="center" vertical="center" wrapText="1"/>
    </xf>
    <xf numFmtId="2" fontId="0" fillId="0" borderId="2" xfId="0" applyNumberFormat="1" applyBorder="1" applyAlignment="1">
      <alignment horizontal="right" vertical="center"/>
    </xf>
    <xf numFmtId="0" fontId="11" fillId="0" borderId="0" xfId="0" applyFont="1"/>
    <xf numFmtId="0" fontId="4" fillId="7" borderId="1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right" vertical="center" wrapText="1"/>
    </xf>
    <xf numFmtId="165" fontId="0" fillId="9" borderId="2" xfId="0" applyNumberFormat="1" applyFill="1" applyBorder="1" applyAlignment="1">
      <alignment horizontal="right" vertical="center" wrapText="1"/>
    </xf>
    <xf numFmtId="2" fontId="5" fillId="10" borderId="2" xfId="0" applyNumberFormat="1" applyFont="1" applyFill="1" applyBorder="1" applyAlignment="1">
      <alignment horizontal="right" vertical="center"/>
    </xf>
    <xf numFmtId="0" fontId="0" fillId="7" borderId="2" xfId="0" applyFill="1" applyBorder="1" applyAlignment="1">
      <alignment horizontal="right" vertical="center" wrapText="1"/>
    </xf>
    <xf numFmtId="164" fontId="0" fillId="0" borderId="2" xfId="0" applyNumberFormat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164" fontId="0" fillId="9" borderId="2" xfId="0" applyNumberForma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center" vertical="center"/>
    </xf>
    <xf numFmtId="164" fontId="0" fillId="4" borderId="2" xfId="0" applyNumberFormat="1" applyFill="1" applyBorder="1" applyAlignment="1">
      <alignment horizontal="right" vertical="center"/>
    </xf>
    <xf numFmtId="0" fontId="0" fillId="4" borderId="2" xfId="0" applyFill="1" applyBorder="1"/>
    <xf numFmtId="0" fontId="0" fillId="0" borderId="2" xfId="0" applyBorder="1"/>
    <xf numFmtId="0" fontId="5" fillId="0" borderId="2" xfId="2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right" vertical="center" wrapText="1"/>
    </xf>
    <xf numFmtId="43" fontId="5" fillId="0" borderId="2" xfId="3" applyFont="1" applyBorder="1" applyAlignment="1">
      <alignment horizontal="right" vertical="center"/>
    </xf>
    <xf numFmtId="0" fontId="0" fillId="0" borderId="0" xfId="0" applyAlignment="1">
      <alignment vertical="center"/>
    </xf>
    <xf numFmtId="2" fontId="20" fillId="9" borderId="2" xfId="0" applyNumberFormat="1" applyFont="1" applyFill="1" applyBorder="1" applyAlignment="1">
      <alignment horizontal="right" vertical="center"/>
    </xf>
    <xf numFmtId="2" fontId="0" fillId="13" borderId="2" xfId="0" applyNumberFormat="1" applyFill="1" applyBorder="1" applyAlignment="1">
      <alignment horizontal="right" vertical="center"/>
    </xf>
    <xf numFmtId="2" fontId="20" fillId="13" borderId="2" xfId="0" applyNumberFormat="1" applyFont="1" applyFill="1" applyBorder="1" applyAlignment="1">
      <alignment horizontal="right" vertical="center"/>
    </xf>
    <xf numFmtId="164" fontId="0" fillId="9" borderId="2" xfId="0" applyNumberFormat="1" applyFill="1" applyBorder="1" applyAlignment="1">
      <alignment horizontal="right" vertical="center" wrapText="1"/>
    </xf>
    <xf numFmtId="0" fontId="0" fillId="9" borderId="2" xfId="0" applyFill="1" applyBorder="1" applyAlignment="1">
      <alignment horizontal="right" vertical="center" wrapText="1"/>
    </xf>
    <xf numFmtId="164" fontId="0" fillId="13" borderId="2" xfId="0" applyNumberFormat="1" applyFill="1" applyBorder="1" applyAlignment="1">
      <alignment horizontal="right" vertical="center"/>
    </xf>
    <xf numFmtId="164" fontId="0" fillId="0" borderId="2" xfId="0" applyNumberFormat="1" applyBorder="1" applyAlignment="1">
      <alignment horizontal="left" vertical="center"/>
    </xf>
    <xf numFmtId="2" fontId="5" fillId="0" borderId="2" xfId="3" applyNumberFormat="1" applyFont="1" applyBorder="1" applyAlignment="1">
      <alignment horizontal="right" vertical="center"/>
    </xf>
    <xf numFmtId="1" fontId="0" fillId="0" borderId="2" xfId="0" applyNumberFormat="1" applyBorder="1" applyAlignment="1">
      <alignment vertical="center"/>
    </xf>
    <xf numFmtId="0" fontId="7" fillId="0" borderId="2" xfId="1" applyNumberForma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quotePrefix="1" applyBorder="1" applyAlignment="1">
      <alignment horizontal="center" vertical="center"/>
    </xf>
    <xf numFmtId="0" fontId="6" fillId="0" borderId="2" xfId="0" applyFont="1" applyBorder="1" applyAlignment="1">
      <alignment horizontal="right" vertical="center"/>
    </xf>
    <xf numFmtId="0" fontId="5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164" fontId="0" fillId="8" borderId="2" xfId="0" applyNumberFormat="1" applyFill="1" applyBorder="1" applyAlignment="1">
      <alignment horizontal="left" vertical="center"/>
    </xf>
    <xf numFmtId="0" fontId="0" fillId="8" borderId="2" xfId="0" applyFill="1" applyBorder="1" applyAlignment="1">
      <alignment horizontal="center" vertical="center"/>
    </xf>
    <xf numFmtId="2" fontId="0" fillId="9" borderId="2" xfId="3" applyNumberFormat="1" applyFont="1" applyFill="1" applyBorder="1" applyAlignment="1">
      <alignment horizontal="right" vertical="center"/>
    </xf>
    <xf numFmtId="2" fontId="0" fillId="9" borderId="2" xfId="0" applyNumberFormat="1" applyFill="1" applyBorder="1" applyAlignment="1">
      <alignment horizontal="right" vertical="center" wrapText="1"/>
    </xf>
    <xf numFmtId="0" fontId="0" fillId="8" borderId="2" xfId="0" applyFill="1" applyBorder="1" applyAlignment="1">
      <alignment vertical="center"/>
    </xf>
    <xf numFmtId="1" fontId="0" fillId="8" borderId="2" xfId="0" applyNumberFormat="1" applyFill="1" applyBorder="1" applyAlignment="1">
      <alignment vertical="center"/>
    </xf>
    <xf numFmtId="0" fontId="1" fillId="8" borderId="2" xfId="0" applyFont="1" applyFill="1" applyBorder="1" applyAlignment="1">
      <alignment vertical="center" wrapText="1"/>
    </xf>
    <xf numFmtId="0" fontId="7" fillId="8" borderId="2" xfId="1" applyNumberFormat="1" applyFill="1" applyBorder="1" applyAlignment="1">
      <alignment vertical="center"/>
    </xf>
    <xf numFmtId="0" fontId="0" fillId="8" borderId="2" xfId="0" applyFill="1" applyBorder="1" applyAlignment="1">
      <alignment vertical="center" wrapText="1"/>
    </xf>
    <xf numFmtId="0" fontId="7" fillId="8" borderId="2" xfId="1" applyFill="1" applyBorder="1" applyAlignment="1">
      <alignment vertical="center"/>
    </xf>
    <xf numFmtId="0" fontId="8" fillId="8" borderId="2" xfId="0" applyFont="1" applyFill="1" applyBorder="1" applyAlignment="1">
      <alignment horizontal="right" vertical="center" wrapText="1"/>
    </xf>
    <xf numFmtId="0" fontId="14" fillId="0" borderId="2" xfId="0" applyFont="1" applyBorder="1" applyAlignment="1">
      <alignment horizontal="center" vertical="center"/>
    </xf>
    <xf numFmtId="2" fontId="0" fillId="0" borderId="2" xfId="0" applyNumberFormat="1" applyBorder="1" applyAlignment="1">
      <alignment horizontal="right" vertical="center" wrapText="1"/>
    </xf>
    <xf numFmtId="2" fontId="5" fillId="15" borderId="2" xfId="0" applyNumberFormat="1" applyFont="1" applyFill="1" applyBorder="1" applyAlignment="1">
      <alignment horizontal="right" vertical="center"/>
    </xf>
    <xf numFmtId="2" fontId="5" fillId="15" borderId="2" xfId="0" applyNumberFormat="1" applyFont="1" applyFill="1" applyBorder="1" applyAlignment="1">
      <alignment vertical="center"/>
    </xf>
    <xf numFmtId="0" fontId="5" fillId="15" borderId="2" xfId="0" applyFont="1" applyFill="1" applyBorder="1" applyAlignment="1">
      <alignment horizontal="right" vertical="center"/>
    </xf>
    <xf numFmtId="164" fontId="5" fillId="8" borderId="2" xfId="0" applyNumberFormat="1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4" fillId="7" borderId="12" xfId="0" applyFont="1" applyFill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21" fillId="14" borderId="3" xfId="0" applyNumberFormat="1" applyFont="1" applyFill="1" applyBorder="1" applyAlignment="1">
      <alignment horizontal="center" vertical="center" wrapText="1"/>
    </xf>
    <xf numFmtId="49" fontId="21" fillId="14" borderId="4" xfId="0" applyNumberFormat="1" applyFont="1" applyFill="1" applyBorder="1" applyAlignment="1">
      <alignment horizontal="center" vertical="center" wrapText="1"/>
    </xf>
    <xf numFmtId="49" fontId="21" fillId="14" borderId="5" xfId="0" applyNumberFormat="1" applyFont="1" applyFill="1" applyBorder="1" applyAlignment="1">
      <alignment horizontal="center" vertical="center" wrapText="1"/>
    </xf>
    <xf numFmtId="49" fontId="4" fillId="7" borderId="3" xfId="0" applyNumberFormat="1" applyFont="1" applyFill="1" applyBorder="1" applyAlignment="1">
      <alignment horizontal="center" vertical="center" wrapText="1"/>
    </xf>
    <xf numFmtId="49" fontId="4" fillId="7" borderId="4" xfId="0" applyNumberFormat="1" applyFont="1" applyFill="1" applyBorder="1" applyAlignment="1">
      <alignment horizontal="center" vertical="center" wrapText="1"/>
    </xf>
    <xf numFmtId="49" fontId="4" fillId="7" borderId="5" xfId="0" applyNumberFormat="1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0" fillId="7" borderId="5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5" fillId="7" borderId="2" xfId="2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13" fillId="7" borderId="6" xfId="0" applyFont="1" applyFill="1" applyBorder="1" applyAlignment="1">
      <alignment horizontal="center" vertical="center" textRotation="90"/>
    </xf>
    <xf numFmtId="0" fontId="10" fillId="11" borderId="1" xfId="2" applyFont="1" applyFill="1" applyBorder="1" applyAlignment="1">
      <alignment horizontal="center" vertical="center"/>
    </xf>
    <xf numFmtId="0" fontId="10" fillId="11" borderId="0" xfId="2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4" fillId="4" borderId="2" xfId="2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 wrapText="1"/>
    </xf>
    <xf numFmtId="0" fontId="2" fillId="2" borderId="0" xfId="2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</cellXfs>
  <cellStyles count="4">
    <cellStyle name="Comma" xfId="3" builtinId="3"/>
    <cellStyle name="Good" xfId="2" builtinId="26"/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22C50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EMAIL2ARMAN@GMAIL.COM" TargetMode="External"/><Relationship Id="rId1" Type="http://schemas.openxmlformats.org/officeDocument/2006/relationships/hyperlink" Target="mailto:midu49bu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1"/>
  <sheetViews>
    <sheetView workbookViewId="0">
      <selection activeCell="D8" sqref="D8"/>
    </sheetView>
  </sheetViews>
  <sheetFormatPr defaultColWidth="9" defaultRowHeight="15"/>
  <cols>
    <col min="2" max="2" width="17.7109375" customWidth="1"/>
    <col min="3" max="3" width="15.140625" customWidth="1"/>
    <col min="4" max="4" width="29" customWidth="1"/>
    <col min="5" max="5" width="18" customWidth="1"/>
    <col min="6" max="6" width="13.5703125" customWidth="1"/>
  </cols>
  <sheetData>
    <row r="1" spans="1:16" ht="18.75" customHeight="1">
      <c r="A1" s="105" t="s">
        <v>0</v>
      </c>
      <c r="B1" s="106"/>
      <c r="C1" s="106"/>
      <c r="D1" s="106"/>
      <c r="E1" s="106"/>
      <c r="F1" s="106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5" customHeight="1">
      <c r="A2" s="105"/>
      <c r="B2" s="106"/>
      <c r="C2" s="106"/>
      <c r="D2" s="106"/>
      <c r="E2" s="106"/>
      <c r="F2" s="106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15.75">
      <c r="A3" s="107" t="s">
        <v>1</v>
      </c>
      <c r="B3" s="108"/>
      <c r="C3" s="108"/>
      <c r="D3" s="108"/>
      <c r="E3" s="108"/>
      <c r="F3" s="108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ht="15.75">
      <c r="A4" s="107" t="s">
        <v>2</v>
      </c>
      <c r="B4" s="108"/>
      <c r="C4" s="108"/>
      <c r="D4" s="108"/>
      <c r="E4" s="108"/>
      <c r="F4" s="108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ht="18.75" customHeight="1">
      <c r="A6" s="109" t="s">
        <v>3</v>
      </c>
      <c r="B6" s="110" t="s">
        <v>4</v>
      </c>
      <c r="C6" s="111" t="s">
        <v>5</v>
      </c>
      <c r="D6" s="112" t="s">
        <v>6</v>
      </c>
      <c r="E6" s="113" t="s">
        <v>7</v>
      </c>
      <c r="F6" s="114" t="s">
        <v>8</v>
      </c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ht="15.75" customHeight="1">
      <c r="A7" s="109"/>
      <c r="B7" s="110"/>
      <c r="C7" s="111"/>
      <c r="D7" s="112"/>
      <c r="E7" s="113"/>
      <c r="F7" s="114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>
      <c r="A8" s="37">
        <v>1</v>
      </c>
      <c r="B8" s="37" t="s">
        <v>9</v>
      </c>
      <c r="C8" s="38">
        <v>0.112</v>
      </c>
      <c r="D8" s="39"/>
      <c r="E8" s="39"/>
      <c r="F8" s="39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37">
        <v>2</v>
      </c>
      <c r="B9" s="37" t="s">
        <v>10</v>
      </c>
      <c r="C9" s="38">
        <v>0.17699999999999999</v>
      </c>
      <c r="D9" s="39"/>
      <c r="E9" s="39"/>
      <c r="F9" s="39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37">
        <v>3</v>
      </c>
      <c r="B10" s="37" t="s">
        <v>11</v>
      </c>
      <c r="C10" s="38">
        <v>0.158</v>
      </c>
      <c r="D10" s="39"/>
      <c r="E10" s="39"/>
      <c r="F10" s="39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37">
        <v>4</v>
      </c>
      <c r="B11" s="37" t="s">
        <v>12</v>
      </c>
      <c r="C11" s="38">
        <v>0.151</v>
      </c>
      <c r="D11" s="39" t="s">
        <v>13</v>
      </c>
      <c r="E11" s="39" t="s">
        <v>14</v>
      </c>
      <c r="F11" s="39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>
      <c r="A12" s="37">
        <v>5</v>
      </c>
      <c r="B12" s="37" t="s">
        <v>15</v>
      </c>
      <c r="C12" s="38">
        <v>0.128</v>
      </c>
      <c r="D12" s="39"/>
      <c r="E12" s="39"/>
      <c r="F12" s="39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>
      <c r="A13" s="37">
        <v>6</v>
      </c>
      <c r="B13" s="37" t="s">
        <v>16</v>
      </c>
      <c r="C13" s="38">
        <v>0.14099999999999999</v>
      </c>
      <c r="D13" s="39"/>
      <c r="E13" s="39"/>
      <c r="F13" s="39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37">
        <v>7</v>
      </c>
      <c r="B14" s="37" t="s">
        <v>17</v>
      </c>
      <c r="C14" s="38">
        <v>0.151</v>
      </c>
      <c r="D14" s="39"/>
      <c r="E14" s="39"/>
      <c r="F14" s="39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37">
        <v>8</v>
      </c>
      <c r="B15" s="37" t="s">
        <v>18</v>
      </c>
      <c r="C15" s="38">
        <v>0.159</v>
      </c>
      <c r="D15" s="39"/>
      <c r="E15" s="39"/>
      <c r="F15" s="39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>
      <c r="A16" s="37">
        <v>9</v>
      </c>
      <c r="B16" s="37" t="s">
        <v>19</v>
      </c>
      <c r="C16" s="38">
        <v>0.17100000000000001</v>
      </c>
      <c r="D16" s="39"/>
      <c r="E16" s="39"/>
      <c r="F16" s="39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37">
        <v>10</v>
      </c>
      <c r="B17" s="37" t="s">
        <v>20</v>
      </c>
      <c r="C17" s="38">
        <v>0.52500000000000002</v>
      </c>
      <c r="D17" s="39"/>
      <c r="E17" s="39"/>
      <c r="F17" s="39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37">
        <v>11</v>
      </c>
      <c r="B18" s="37" t="s">
        <v>21</v>
      </c>
      <c r="C18" s="38">
        <v>0.41099999999999998</v>
      </c>
      <c r="D18" s="39"/>
      <c r="E18" s="39"/>
      <c r="F18" s="39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>
      <c r="A19" s="37">
        <v>12</v>
      </c>
      <c r="B19" s="37" t="s">
        <v>22</v>
      </c>
      <c r="C19" s="38">
        <v>0.378</v>
      </c>
      <c r="D19" s="39"/>
      <c r="E19" s="39"/>
      <c r="F19" s="39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>
      <c r="A20" s="37">
        <v>13</v>
      </c>
      <c r="B20" s="37" t="s">
        <v>23</v>
      </c>
      <c r="C20" s="38">
        <v>0.61199999999999999</v>
      </c>
      <c r="D20" s="39"/>
      <c r="E20" s="39"/>
      <c r="F20" s="39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s="37">
        <v>14</v>
      </c>
      <c r="B21" s="37" t="s">
        <v>24</v>
      </c>
      <c r="C21" s="38">
        <v>0.33700000000000002</v>
      </c>
      <c r="D21" s="39"/>
      <c r="E21" s="39"/>
      <c r="F21" s="39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37">
        <v>15</v>
      </c>
      <c r="B22" s="37" t="s">
        <v>25</v>
      </c>
      <c r="C22" s="38">
        <v>0.161</v>
      </c>
      <c r="D22" s="39" t="s">
        <v>26</v>
      </c>
      <c r="E22" s="39" t="s">
        <v>27</v>
      </c>
      <c r="F22" s="39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>
      <c r="A23" s="37">
        <v>16</v>
      </c>
      <c r="B23" s="37" t="s">
        <v>28</v>
      </c>
      <c r="C23" s="38">
        <v>0.187</v>
      </c>
      <c r="D23" s="39" t="s">
        <v>29</v>
      </c>
      <c r="E23" s="39" t="s">
        <v>30</v>
      </c>
      <c r="F23" s="39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>
      <c r="A24" s="37">
        <v>17</v>
      </c>
      <c r="B24" s="37" t="s">
        <v>31</v>
      </c>
      <c r="C24" s="38">
        <v>0.221</v>
      </c>
      <c r="D24" s="39"/>
      <c r="E24" s="39"/>
      <c r="F24" s="39" t="s">
        <v>32</v>
      </c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>
      <c r="A25" s="37">
        <v>18</v>
      </c>
      <c r="B25" s="37" t="s">
        <v>33</v>
      </c>
      <c r="C25" s="38">
        <v>0.376</v>
      </c>
      <c r="D25" s="39"/>
      <c r="E25" s="39"/>
      <c r="F25" s="39" t="s">
        <v>32</v>
      </c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37">
        <v>19</v>
      </c>
      <c r="B26" s="37" t="s">
        <v>34</v>
      </c>
      <c r="C26" s="38">
        <v>0.33600000000000002</v>
      </c>
      <c r="D26" s="39"/>
      <c r="E26" s="39"/>
      <c r="F26" s="39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>
      <c r="A27" s="37">
        <v>20</v>
      </c>
      <c r="B27" s="37" t="s">
        <v>35</v>
      </c>
      <c r="C27" s="38">
        <v>0.26200000000000001</v>
      </c>
      <c r="D27" s="39"/>
      <c r="E27" s="39"/>
      <c r="F27" s="39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>
      <c r="A28" s="37">
        <v>21</v>
      </c>
      <c r="B28" s="37" t="s">
        <v>36</v>
      </c>
      <c r="C28" s="38">
        <v>0.64600000000000002</v>
      </c>
      <c r="D28" s="40" t="s">
        <v>37</v>
      </c>
      <c r="E28" s="40"/>
      <c r="F28" s="40"/>
    </row>
    <row r="29" spans="1:16">
      <c r="A29" s="37">
        <v>22</v>
      </c>
      <c r="B29" s="37" t="s">
        <v>38</v>
      </c>
      <c r="C29" s="38">
        <v>0.41599999999999998</v>
      </c>
      <c r="D29" s="40"/>
      <c r="E29" s="40"/>
      <c r="F29" s="40"/>
    </row>
    <row r="30" spans="1:16">
      <c r="A30" s="37">
        <v>23</v>
      </c>
      <c r="B30" s="37" t="s">
        <v>39</v>
      </c>
      <c r="C30" s="38">
        <v>0.17100000000000001</v>
      </c>
      <c r="D30" s="40"/>
      <c r="E30" s="40"/>
      <c r="F30" s="40"/>
    </row>
    <row r="31" spans="1:16">
      <c r="A31" s="37">
        <v>24</v>
      </c>
      <c r="B31" s="37" t="s">
        <v>40</v>
      </c>
      <c r="C31" s="38">
        <v>0.54600000000000004</v>
      </c>
      <c r="D31" s="40"/>
      <c r="E31" s="40"/>
      <c r="F31" s="40"/>
    </row>
    <row r="32" spans="1:16">
      <c r="A32" s="37">
        <v>25</v>
      </c>
      <c r="B32" s="37" t="s">
        <v>41</v>
      </c>
      <c r="C32" s="38">
        <v>0.156</v>
      </c>
      <c r="D32" s="40" t="s">
        <v>42</v>
      </c>
      <c r="E32" s="40" t="s">
        <v>43</v>
      </c>
      <c r="F32" s="40"/>
    </row>
    <row r="33" spans="1:6">
      <c r="A33" s="37">
        <v>26</v>
      </c>
      <c r="B33" s="37" t="s">
        <v>44</v>
      </c>
      <c r="C33" s="38">
        <v>0.187</v>
      </c>
      <c r="D33" s="40" t="s">
        <v>45</v>
      </c>
      <c r="E33" s="40" t="s">
        <v>46</v>
      </c>
      <c r="F33" s="40"/>
    </row>
    <row r="34" spans="1:6">
      <c r="A34" s="37">
        <v>27</v>
      </c>
      <c r="B34" s="37" t="s">
        <v>47</v>
      </c>
      <c r="C34" s="38">
        <v>0.17799999999999999</v>
      </c>
      <c r="D34" s="40"/>
      <c r="E34" s="40"/>
      <c r="F34" s="40" t="s">
        <v>32</v>
      </c>
    </row>
    <row r="35" spans="1:6">
      <c r="A35" s="37">
        <v>28</v>
      </c>
      <c r="B35" s="37" t="s">
        <v>48</v>
      </c>
      <c r="C35" s="38">
        <v>0.16600000000000001</v>
      </c>
      <c r="D35" s="40"/>
      <c r="E35" s="40"/>
      <c r="F35" s="40"/>
    </row>
    <row r="36" spans="1:6">
      <c r="A36" s="37">
        <v>29</v>
      </c>
      <c r="B36" s="37" t="s">
        <v>49</v>
      </c>
      <c r="C36" s="38">
        <v>0.16600000000000001</v>
      </c>
      <c r="D36" s="40"/>
      <c r="E36" s="40"/>
      <c r="F36" s="40"/>
    </row>
    <row r="37" spans="1:6">
      <c r="A37" s="37">
        <v>30</v>
      </c>
      <c r="B37" s="37" t="s">
        <v>50</v>
      </c>
      <c r="C37" s="38">
        <v>0.53900000000000003</v>
      </c>
      <c r="D37" s="40"/>
      <c r="E37" s="40"/>
      <c r="F37" s="40"/>
    </row>
    <row r="38" spans="1:6">
      <c r="A38" s="37">
        <v>31</v>
      </c>
      <c r="B38" s="37" t="s">
        <v>51</v>
      </c>
      <c r="C38" s="38">
        <v>0.16800000000000001</v>
      </c>
      <c r="D38" s="40"/>
      <c r="E38" s="40"/>
      <c r="F38" s="40"/>
    </row>
    <row r="39" spans="1:6">
      <c r="A39" s="37">
        <v>32</v>
      </c>
      <c r="B39" s="37" t="s">
        <v>52</v>
      </c>
      <c r="C39" s="38">
        <v>0.38700000000000001</v>
      </c>
      <c r="D39" s="40"/>
      <c r="E39" s="40"/>
      <c r="F39" s="40"/>
    </row>
    <row r="40" spans="1:6">
      <c r="A40" s="37">
        <v>33</v>
      </c>
      <c r="B40" s="37" t="s">
        <v>53</v>
      </c>
      <c r="C40" s="38">
        <v>0.44400000000000001</v>
      </c>
      <c r="D40" s="40"/>
      <c r="E40" s="40"/>
      <c r="F40" s="40"/>
    </row>
    <row r="41" spans="1:6">
      <c r="A41" s="37">
        <v>34</v>
      </c>
      <c r="B41" s="37" t="s">
        <v>54</v>
      </c>
      <c r="C41" s="38">
        <v>0.63800000000000001</v>
      </c>
      <c r="D41" s="40" t="s">
        <v>55</v>
      </c>
      <c r="E41" s="40"/>
      <c r="F41" s="40"/>
    </row>
    <row r="42" spans="1:6">
      <c r="A42" s="37">
        <v>35</v>
      </c>
      <c r="B42" s="37" t="s">
        <v>56</v>
      </c>
      <c r="C42" s="38">
        <v>0.40699999999999997</v>
      </c>
      <c r="D42" s="40"/>
      <c r="E42" s="40"/>
      <c r="F42" s="40"/>
    </row>
    <row r="43" spans="1:6">
      <c r="A43" s="37">
        <v>36</v>
      </c>
      <c r="B43" s="37" t="s">
        <v>57</v>
      </c>
      <c r="C43" s="38">
        <v>0.33900000000000002</v>
      </c>
      <c r="D43" s="40"/>
      <c r="E43" s="40"/>
      <c r="F43" s="40"/>
    </row>
    <row r="44" spans="1:6">
      <c r="A44" s="37">
        <v>37</v>
      </c>
      <c r="B44" s="37" t="s">
        <v>58</v>
      </c>
      <c r="C44" s="38">
        <v>0.16900000000000001</v>
      </c>
      <c r="D44" s="40"/>
      <c r="E44" s="40"/>
      <c r="F44" s="40"/>
    </row>
    <row r="45" spans="1:6">
      <c r="A45" s="37">
        <v>38</v>
      </c>
      <c r="B45" s="37" t="s">
        <v>59</v>
      </c>
      <c r="C45" s="38">
        <v>0.17699999999999999</v>
      </c>
      <c r="D45" s="40"/>
      <c r="E45" s="40"/>
      <c r="F45" s="40"/>
    </row>
    <row r="46" spans="1:6">
      <c r="A46" s="37">
        <v>39</v>
      </c>
      <c r="B46" s="37" t="s">
        <v>60</v>
      </c>
      <c r="C46" s="38">
        <v>0.32</v>
      </c>
      <c r="D46" s="40" t="s">
        <v>61</v>
      </c>
      <c r="E46" s="40" t="s">
        <v>62</v>
      </c>
      <c r="F46" s="40"/>
    </row>
    <row r="47" spans="1:6">
      <c r="A47" s="37">
        <v>40</v>
      </c>
      <c r="B47" s="37" t="s">
        <v>63</v>
      </c>
      <c r="C47" s="38">
        <v>0.37</v>
      </c>
      <c r="D47" s="40" t="s">
        <v>64</v>
      </c>
      <c r="E47" s="40" t="s">
        <v>65</v>
      </c>
      <c r="F47" s="40"/>
    </row>
    <row r="48" spans="1:6">
      <c r="A48" s="37">
        <v>41</v>
      </c>
      <c r="B48" s="37" t="s">
        <v>66</v>
      </c>
      <c r="C48" s="38">
        <v>0.17799999999999999</v>
      </c>
      <c r="D48" s="40"/>
      <c r="E48" s="40"/>
      <c r="F48" s="40"/>
    </row>
    <row r="49" spans="1:6">
      <c r="A49" s="37">
        <v>42</v>
      </c>
      <c r="B49" s="37" t="s">
        <v>67</v>
      </c>
      <c r="C49" s="38">
        <v>0.20599999999999999</v>
      </c>
      <c r="D49" s="40"/>
      <c r="E49" s="40"/>
      <c r="F49" s="40"/>
    </row>
    <row r="50" spans="1:6">
      <c r="A50" s="37">
        <v>43</v>
      </c>
      <c r="B50" s="37" t="s">
        <v>68</v>
      </c>
      <c r="C50" s="38">
        <v>0.56999999999999995</v>
      </c>
      <c r="D50" s="40"/>
      <c r="E50" s="40"/>
      <c r="F50" s="40"/>
    </row>
    <row r="51" spans="1:6">
      <c r="A51" s="37">
        <v>44</v>
      </c>
      <c r="B51" s="37" t="s">
        <v>69</v>
      </c>
      <c r="C51" s="38">
        <v>0.184</v>
      </c>
      <c r="D51" s="40"/>
      <c r="E51" s="40"/>
      <c r="F51" s="40"/>
    </row>
    <row r="52" spans="1:6">
      <c r="A52" s="37">
        <v>45</v>
      </c>
      <c r="B52" s="37" t="s">
        <v>70</v>
      </c>
      <c r="C52" s="38">
        <v>0.28799999999999998</v>
      </c>
      <c r="D52" s="40"/>
      <c r="E52" s="40"/>
      <c r="F52" s="40"/>
    </row>
    <row r="53" spans="1:6">
      <c r="A53" s="37">
        <v>46</v>
      </c>
      <c r="B53" s="37" t="s">
        <v>71</v>
      </c>
      <c r="C53" s="38">
        <v>0.36599999999999999</v>
      </c>
      <c r="D53" s="40"/>
      <c r="E53" s="40"/>
      <c r="F53" s="40"/>
    </row>
    <row r="54" spans="1:6">
      <c r="A54" s="37">
        <v>47</v>
      </c>
      <c r="B54" s="37" t="s">
        <v>72</v>
      </c>
      <c r="C54" s="38">
        <v>0.48299999999999998</v>
      </c>
      <c r="D54" s="40"/>
      <c r="E54" s="40"/>
      <c r="F54" s="40"/>
    </row>
    <row r="55" spans="1:6">
      <c r="A55" s="37">
        <v>48</v>
      </c>
      <c r="B55" s="37" t="s">
        <v>73</v>
      </c>
      <c r="C55" s="38">
        <v>0.31</v>
      </c>
      <c r="D55" s="40" t="s">
        <v>74</v>
      </c>
      <c r="E55" s="40" t="s">
        <v>75</v>
      </c>
      <c r="F55" s="40" t="s">
        <v>76</v>
      </c>
    </row>
    <row r="56" spans="1:6">
      <c r="A56" s="37">
        <v>49</v>
      </c>
      <c r="B56" s="37" t="s">
        <v>77</v>
      </c>
      <c r="C56" s="38">
        <v>0.224</v>
      </c>
      <c r="D56" s="40"/>
      <c r="E56" s="40"/>
      <c r="F56" s="40"/>
    </row>
    <row r="57" spans="1:6">
      <c r="A57" s="37">
        <v>50</v>
      </c>
      <c r="B57" s="37" t="s">
        <v>78</v>
      </c>
      <c r="C57" s="38">
        <v>0.253</v>
      </c>
      <c r="D57" s="40"/>
      <c r="E57" s="40"/>
      <c r="F57" s="40"/>
    </row>
    <row r="58" spans="1:6">
      <c r="A58" s="37">
        <v>51</v>
      </c>
      <c r="B58" s="37" t="s">
        <v>79</v>
      </c>
      <c r="C58" s="38">
        <v>0.17199999999999999</v>
      </c>
      <c r="D58" s="40"/>
      <c r="E58" s="40"/>
      <c r="F58" s="40"/>
    </row>
    <row r="59" spans="1:6">
      <c r="A59" s="37">
        <v>52</v>
      </c>
      <c r="B59" s="37" t="s">
        <v>80</v>
      </c>
      <c r="C59" s="38">
        <v>0.23799999999999999</v>
      </c>
      <c r="D59" s="40"/>
      <c r="E59" s="40"/>
      <c r="F59" s="40"/>
    </row>
    <row r="60" spans="1:6">
      <c r="A60" s="37">
        <v>53</v>
      </c>
      <c r="B60" s="37" t="s">
        <v>81</v>
      </c>
      <c r="C60" s="38">
        <v>0.126</v>
      </c>
      <c r="D60" s="40"/>
      <c r="E60" s="40"/>
      <c r="F60" s="40"/>
    </row>
    <row r="61" spans="1:6">
      <c r="A61" s="37">
        <v>54</v>
      </c>
      <c r="B61" s="37" t="s">
        <v>82</v>
      </c>
      <c r="C61" s="38">
        <v>0.496</v>
      </c>
      <c r="D61" s="40"/>
      <c r="E61" s="40"/>
      <c r="F61" s="40"/>
    </row>
    <row r="62" spans="1:6">
      <c r="A62" s="37">
        <v>55</v>
      </c>
      <c r="B62" s="37" t="s">
        <v>83</v>
      </c>
      <c r="C62" s="38">
        <v>0.16700000000000001</v>
      </c>
      <c r="D62" s="40"/>
      <c r="E62" s="40"/>
      <c r="F62" s="40"/>
    </row>
    <row r="63" spans="1:6">
      <c r="A63" s="37">
        <v>56</v>
      </c>
      <c r="B63" s="37" t="s">
        <v>84</v>
      </c>
      <c r="C63" s="38">
        <v>0.158</v>
      </c>
      <c r="D63" s="40"/>
      <c r="E63" s="40"/>
      <c r="F63" s="40"/>
    </row>
    <row r="64" spans="1:6">
      <c r="A64" s="37">
        <v>57</v>
      </c>
      <c r="B64" s="37" t="s">
        <v>85</v>
      </c>
      <c r="C64" s="38">
        <v>0.88700000000000001</v>
      </c>
      <c r="D64" s="40"/>
      <c r="E64" s="40"/>
      <c r="F64" s="40"/>
    </row>
    <row r="65" spans="1:6">
      <c r="A65" s="37">
        <v>58</v>
      </c>
      <c r="B65" s="37" t="s">
        <v>86</v>
      </c>
      <c r="C65" s="38">
        <v>0.17499999999999999</v>
      </c>
      <c r="D65" s="40"/>
      <c r="E65" s="40"/>
      <c r="F65" s="40"/>
    </row>
    <row r="66" spans="1:6">
      <c r="A66" s="37">
        <v>59</v>
      </c>
      <c r="B66" s="37" t="s">
        <v>87</v>
      </c>
      <c r="C66" s="38">
        <v>0.41699999999999998</v>
      </c>
      <c r="D66" s="40"/>
      <c r="E66" s="40"/>
      <c r="F66" s="40"/>
    </row>
    <row r="67" spans="1:6">
      <c r="A67" s="37">
        <v>60</v>
      </c>
      <c r="B67" s="37" t="s">
        <v>88</v>
      </c>
      <c r="C67" s="38">
        <v>0.17100000000000001</v>
      </c>
      <c r="D67" s="40"/>
      <c r="E67" s="40"/>
      <c r="F67" s="40"/>
    </row>
    <row r="68" spans="1:6">
      <c r="A68" s="37">
        <v>61</v>
      </c>
      <c r="B68" s="37" t="s">
        <v>89</v>
      </c>
      <c r="C68" s="38">
        <v>0.182</v>
      </c>
      <c r="D68" s="40"/>
      <c r="E68" s="40"/>
      <c r="F68" s="40"/>
    </row>
    <row r="69" spans="1:6">
      <c r="A69" s="37">
        <v>62</v>
      </c>
      <c r="B69" s="37" t="s">
        <v>90</v>
      </c>
      <c r="C69" s="38">
        <v>0.16300000000000001</v>
      </c>
      <c r="D69" s="40"/>
      <c r="E69" s="40"/>
      <c r="F69" s="40"/>
    </row>
    <row r="70" spans="1:6">
      <c r="A70" s="37">
        <v>63</v>
      </c>
      <c r="B70" s="37" t="s">
        <v>91</v>
      </c>
      <c r="C70" s="38">
        <v>0.29099999999999998</v>
      </c>
      <c r="D70" s="40"/>
      <c r="E70" s="40"/>
      <c r="F70" s="40"/>
    </row>
    <row r="71" spans="1:6">
      <c r="A71" s="37">
        <v>64</v>
      </c>
      <c r="B71" s="37" t="s">
        <v>92</v>
      </c>
      <c r="C71" s="38">
        <v>0.29199999999999998</v>
      </c>
      <c r="D71" s="40"/>
      <c r="E71" s="40"/>
      <c r="F71" s="40"/>
    </row>
  </sheetData>
  <mergeCells count="9">
    <mergeCell ref="A1:F2"/>
    <mergeCell ref="A3:F3"/>
    <mergeCell ref="A4:F4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24"/>
  <sheetViews>
    <sheetView tabSelected="1" topLeftCell="A5" zoomScale="90" zoomScaleNormal="90" workbookViewId="0">
      <pane xSplit="4" topLeftCell="T1" activePane="topRight" state="frozen"/>
      <selection pane="topRight" activeCell="T20" sqref="T20"/>
    </sheetView>
  </sheetViews>
  <sheetFormatPr defaultColWidth="9" defaultRowHeight="15"/>
  <cols>
    <col min="1" max="1" width="5.42578125" customWidth="1"/>
    <col min="2" max="2" width="12.7109375" customWidth="1"/>
    <col min="3" max="3" width="6.5703125" customWidth="1"/>
    <col min="4" max="4" width="9.5703125" customWidth="1"/>
    <col min="5" max="10" width="16.7109375" hidden="1" customWidth="1"/>
    <col min="11" max="14" width="16.5703125" hidden="1" customWidth="1"/>
    <col min="15" max="49" width="16.7109375" customWidth="1"/>
    <col min="50" max="53" width="16.140625" customWidth="1"/>
    <col min="54" max="54" width="16.28515625" customWidth="1"/>
    <col min="55" max="57" width="16.42578125" customWidth="1"/>
    <col min="58" max="59" width="16.5703125" customWidth="1"/>
    <col min="60" max="64" width="16.7109375" customWidth="1"/>
  </cols>
  <sheetData>
    <row r="1" spans="1:64" ht="18.75" customHeight="1">
      <c r="A1" s="80" t="s">
        <v>171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</row>
    <row r="2" spans="1:64" ht="15" customHeight="1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0"/>
      <c r="BD2" s="80"/>
      <c r="BE2" s="80"/>
      <c r="BF2" s="80"/>
      <c r="BG2" s="80"/>
      <c r="BH2" s="80"/>
      <c r="BI2" s="80"/>
      <c r="BJ2" s="80"/>
      <c r="BK2" s="80"/>
      <c r="BL2" s="80"/>
    </row>
    <row r="3" spans="1:64">
      <c r="A3" s="81" t="s">
        <v>170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1"/>
      <c r="BK3" s="81"/>
      <c r="BL3" s="81"/>
    </row>
    <row r="4" spans="1:64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1"/>
      <c r="BK4" s="81"/>
      <c r="BL4" s="81"/>
    </row>
    <row r="5" spans="1:6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</row>
    <row r="6" spans="1:64" s="27" customFormat="1" ht="24" customHeight="1">
      <c r="A6" s="102" t="s">
        <v>93</v>
      </c>
      <c r="B6" s="103" t="s">
        <v>4</v>
      </c>
      <c r="C6" s="82" t="s">
        <v>94</v>
      </c>
      <c r="D6" s="83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7"/>
      <c r="AQ6" s="97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97"/>
      <c r="BF6" s="97"/>
      <c r="BG6" s="97"/>
      <c r="BH6" s="97"/>
      <c r="BI6" s="97"/>
      <c r="BJ6" s="97"/>
      <c r="BK6" s="97"/>
      <c r="BL6" s="98"/>
    </row>
    <row r="7" spans="1:64" ht="20.100000000000001" customHeight="1">
      <c r="A7" s="102"/>
      <c r="B7" s="103"/>
      <c r="C7" s="84"/>
      <c r="D7" s="85"/>
      <c r="E7" s="94" t="s">
        <v>175</v>
      </c>
      <c r="F7" s="95"/>
      <c r="G7" s="95"/>
      <c r="H7" s="95"/>
      <c r="I7" s="96"/>
      <c r="J7" s="94" t="s">
        <v>178</v>
      </c>
      <c r="K7" s="95"/>
      <c r="L7" s="95"/>
      <c r="M7" s="95"/>
      <c r="N7" s="96"/>
      <c r="O7" s="94" t="s">
        <v>179</v>
      </c>
      <c r="P7" s="95"/>
      <c r="Q7" s="95"/>
      <c r="R7" s="95"/>
      <c r="S7" s="96"/>
      <c r="T7" s="94" t="s">
        <v>180</v>
      </c>
      <c r="U7" s="95"/>
      <c r="V7" s="95"/>
      <c r="W7" s="95"/>
      <c r="X7" s="96"/>
      <c r="Y7" s="94" t="s">
        <v>181</v>
      </c>
      <c r="Z7" s="95"/>
      <c r="AA7" s="95"/>
      <c r="AB7" s="95"/>
      <c r="AC7" s="96"/>
      <c r="AD7" s="94" t="s">
        <v>182</v>
      </c>
      <c r="AE7" s="95"/>
      <c r="AF7" s="95"/>
      <c r="AG7" s="95"/>
      <c r="AH7" s="96"/>
      <c r="AI7" s="94" t="s">
        <v>183</v>
      </c>
      <c r="AJ7" s="95"/>
      <c r="AK7" s="95"/>
      <c r="AL7" s="95"/>
      <c r="AM7" s="96"/>
      <c r="AN7" s="94" t="s">
        <v>184</v>
      </c>
      <c r="AO7" s="95"/>
      <c r="AP7" s="95"/>
      <c r="AQ7" s="95"/>
      <c r="AR7" s="96"/>
      <c r="AS7" s="94" t="s">
        <v>185</v>
      </c>
      <c r="AT7" s="95"/>
      <c r="AU7" s="95"/>
      <c r="AV7" s="95"/>
      <c r="AW7" s="96"/>
      <c r="AX7" s="94" t="s">
        <v>186</v>
      </c>
      <c r="AY7" s="95"/>
      <c r="AZ7" s="95"/>
      <c r="BA7" s="95"/>
      <c r="BB7" s="96"/>
      <c r="BC7" s="94" t="s">
        <v>187</v>
      </c>
      <c r="BD7" s="95"/>
      <c r="BE7" s="95"/>
      <c r="BF7" s="95"/>
      <c r="BG7" s="96"/>
      <c r="BH7" s="94" t="s">
        <v>188</v>
      </c>
      <c r="BI7" s="95"/>
      <c r="BJ7" s="95"/>
      <c r="BK7" s="95"/>
      <c r="BL7" s="96"/>
    </row>
    <row r="8" spans="1:64" ht="20.100000000000001" customHeight="1">
      <c r="A8" s="102"/>
      <c r="B8" s="103"/>
      <c r="C8" s="84"/>
      <c r="D8" s="85"/>
      <c r="E8" s="91" t="s">
        <v>176</v>
      </c>
      <c r="F8" s="92"/>
      <c r="G8" s="92"/>
      <c r="H8" s="92"/>
      <c r="I8" s="93"/>
      <c r="J8" s="91" t="s">
        <v>177</v>
      </c>
      <c r="K8" s="92"/>
      <c r="L8" s="92"/>
      <c r="M8" s="92"/>
      <c r="N8" s="93"/>
      <c r="O8" s="88" t="s">
        <v>189</v>
      </c>
      <c r="P8" s="89"/>
      <c r="Q8" s="89"/>
      <c r="R8" s="89"/>
      <c r="S8" s="90"/>
      <c r="T8" s="88" t="s">
        <v>191</v>
      </c>
      <c r="U8" s="89"/>
      <c r="V8" s="89"/>
      <c r="W8" s="89"/>
      <c r="X8" s="90"/>
      <c r="Y8" s="88" t="s">
        <v>134</v>
      </c>
      <c r="Z8" s="89"/>
      <c r="AA8" s="89"/>
      <c r="AB8" s="89"/>
      <c r="AC8" s="90"/>
      <c r="AD8" s="88" t="s">
        <v>134</v>
      </c>
      <c r="AE8" s="89"/>
      <c r="AF8" s="89"/>
      <c r="AG8" s="89"/>
      <c r="AH8" s="90"/>
      <c r="AI8" s="88" t="s">
        <v>164</v>
      </c>
      <c r="AJ8" s="89"/>
      <c r="AK8" s="89"/>
      <c r="AL8" s="89"/>
      <c r="AM8" s="90"/>
      <c r="AN8" s="88" t="s">
        <v>165</v>
      </c>
      <c r="AO8" s="89"/>
      <c r="AP8" s="89"/>
      <c r="AQ8" s="89"/>
      <c r="AR8" s="90"/>
      <c r="AS8" s="88" t="s">
        <v>166</v>
      </c>
      <c r="AT8" s="89"/>
      <c r="AU8" s="89"/>
      <c r="AV8" s="89"/>
      <c r="AW8" s="90"/>
      <c r="AX8" s="88" t="s">
        <v>167</v>
      </c>
      <c r="AY8" s="89"/>
      <c r="AZ8" s="89"/>
      <c r="BA8" s="89"/>
      <c r="BB8" s="90"/>
      <c r="BC8" s="88" t="s">
        <v>172</v>
      </c>
      <c r="BD8" s="89"/>
      <c r="BE8" s="89"/>
      <c r="BF8" s="89"/>
      <c r="BG8" s="90"/>
      <c r="BH8" s="91" t="s">
        <v>173</v>
      </c>
      <c r="BI8" s="92"/>
      <c r="BJ8" s="92"/>
      <c r="BK8" s="92"/>
      <c r="BL8" s="93"/>
    </row>
    <row r="9" spans="1:64" ht="20.100000000000001" customHeight="1">
      <c r="A9" s="102"/>
      <c r="B9" s="103"/>
      <c r="C9" s="86"/>
      <c r="D9" s="87"/>
      <c r="E9" s="17" t="s">
        <v>95</v>
      </c>
      <c r="F9" s="17" t="s">
        <v>96</v>
      </c>
      <c r="G9" s="17" t="s">
        <v>131</v>
      </c>
      <c r="H9" s="17" t="s">
        <v>132</v>
      </c>
      <c r="I9" s="17" t="s">
        <v>133</v>
      </c>
      <c r="J9" s="17" t="s">
        <v>95</v>
      </c>
      <c r="K9" s="17" t="s">
        <v>96</v>
      </c>
      <c r="L9" s="17" t="s">
        <v>131</v>
      </c>
      <c r="M9" s="17" t="s">
        <v>132</v>
      </c>
      <c r="N9" s="17" t="s">
        <v>133</v>
      </c>
      <c r="O9" s="17" t="s">
        <v>95</v>
      </c>
      <c r="P9" s="17" t="s">
        <v>96</v>
      </c>
      <c r="Q9" s="17" t="s">
        <v>131</v>
      </c>
      <c r="R9" s="17" t="s">
        <v>132</v>
      </c>
      <c r="S9" s="17" t="s">
        <v>133</v>
      </c>
      <c r="T9" s="17" t="s">
        <v>95</v>
      </c>
      <c r="U9" s="17" t="s">
        <v>96</v>
      </c>
      <c r="V9" s="17" t="s">
        <v>131</v>
      </c>
      <c r="W9" s="17" t="s">
        <v>132</v>
      </c>
      <c r="X9" s="17" t="s">
        <v>133</v>
      </c>
      <c r="Y9" s="17" t="s">
        <v>95</v>
      </c>
      <c r="Z9" s="17" t="s">
        <v>96</v>
      </c>
      <c r="AA9" s="17" t="s">
        <v>131</v>
      </c>
      <c r="AB9" s="17" t="s">
        <v>132</v>
      </c>
      <c r="AC9" s="17" t="s">
        <v>133</v>
      </c>
      <c r="AD9" s="17" t="s">
        <v>95</v>
      </c>
      <c r="AE9" s="17" t="s">
        <v>96</v>
      </c>
      <c r="AF9" s="17" t="s">
        <v>131</v>
      </c>
      <c r="AG9" s="17" t="s">
        <v>132</v>
      </c>
      <c r="AH9" s="17" t="s">
        <v>133</v>
      </c>
      <c r="AI9" s="17" t="s">
        <v>95</v>
      </c>
      <c r="AJ9" s="17" t="s">
        <v>96</v>
      </c>
      <c r="AK9" s="17" t="s">
        <v>131</v>
      </c>
      <c r="AL9" s="17" t="s">
        <v>132</v>
      </c>
      <c r="AM9" s="17" t="s">
        <v>133</v>
      </c>
      <c r="AN9" s="17"/>
      <c r="AO9" s="17" t="s">
        <v>96</v>
      </c>
      <c r="AP9" s="17" t="s">
        <v>131</v>
      </c>
      <c r="AQ9" s="17" t="s">
        <v>132</v>
      </c>
      <c r="AR9" s="17" t="s">
        <v>133</v>
      </c>
      <c r="AS9" s="17" t="s">
        <v>95</v>
      </c>
      <c r="AT9" s="17" t="s">
        <v>96</v>
      </c>
      <c r="AU9" s="17" t="s">
        <v>131</v>
      </c>
      <c r="AV9" s="17" t="s">
        <v>132</v>
      </c>
      <c r="AW9" s="17" t="s">
        <v>133</v>
      </c>
      <c r="AX9" s="17" t="s">
        <v>95</v>
      </c>
      <c r="AY9" s="17" t="s">
        <v>96</v>
      </c>
      <c r="AZ9" s="17" t="s">
        <v>131</v>
      </c>
      <c r="BA9" s="17" t="s">
        <v>132</v>
      </c>
      <c r="BB9" s="17" t="s">
        <v>133</v>
      </c>
      <c r="BC9" s="17" t="s">
        <v>95</v>
      </c>
      <c r="BD9" s="17" t="s">
        <v>96</v>
      </c>
      <c r="BE9" s="17" t="s">
        <v>131</v>
      </c>
      <c r="BF9" s="17" t="s">
        <v>132</v>
      </c>
      <c r="BG9" s="17" t="s">
        <v>133</v>
      </c>
      <c r="BH9" s="17" t="s">
        <v>95</v>
      </c>
      <c r="BI9" s="17" t="s">
        <v>96</v>
      </c>
      <c r="BJ9" s="17" t="s">
        <v>131</v>
      </c>
      <c r="BK9" s="17" t="s">
        <v>132</v>
      </c>
      <c r="BL9" s="17" t="s">
        <v>133</v>
      </c>
    </row>
    <row r="10" spans="1:64" ht="20.100000000000001" customHeight="1">
      <c r="A10" s="41">
        <v>1</v>
      </c>
      <c r="B10" s="60" t="s">
        <v>137</v>
      </c>
      <c r="C10" s="28"/>
      <c r="D10" s="13">
        <v>4.93</v>
      </c>
      <c r="E10" s="29"/>
      <c r="F10" s="30"/>
      <c r="G10" s="45" t="str">
        <f>IF(F10&gt;0,F10*241.6,"0.00")</f>
        <v>0.00</v>
      </c>
      <c r="H10" s="47">
        <f>(G10*6%)</f>
        <v>0</v>
      </c>
      <c r="I10" s="31">
        <f>G10+H10</f>
        <v>0</v>
      </c>
      <c r="J10" s="32">
        <v>4.93</v>
      </c>
      <c r="K10" s="18">
        <f>J10-E10</f>
        <v>4.93</v>
      </c>
      <c r="L10" s="18">
        <f>IF(K10&gt;0,K10*250.95,"0.00")</f>
        <v>1237.1834999999999</v>
      </c>
      <c r="M10" s="46">
        <f>(L10*6%)</f>
        <v>74.231009999999984</v>
      </c>
      <c r="N10" s="31">
        <f>(L10+M10)</f>
        <v>1311.4145099999998</v>
      </c>
      <c r="O10" s="32">
        <v>7.1749999999999998</v>
      </c>
      <c r="P10" s="36">
        <f>O10-J10</f>
        <v>2.2450000000000001</v>
      </c>
      <c r="Q10" s="36">
        <f>IF(P10&gt;0,P10*248.06,"0.00")</f>
        <v>556.89470000000006</v>
      </c>
      <c r="R10" s="46">
        <f>(Q10*6%)</f>
        <v>33.413682000000001</v>
      </c>
      <c r="S10" s="31">
        <f>(Q10+R10)</f>
        <v>590.30838200000005</v>
      </c>
      <c r="T10" s="32"/>
      <c r="U10" s="36">
        <f>T10-O10</f>
        <v>-7.1749999999999998</v>
      </c>
      <c r="V10" s="36" t="str">
        <f>IF(U10&gt;0,U10*358.9,"0.00")</f>
        <v>0.00</v>
      </c>
      <c r="W10" s="46">
        <f>V10*6%</f>
        <v>0</v>
      </c>
      <c r="X10" s="31">
        <f>V10+W10</f>
        <v>0</v>
      </c>
      <c r="Y10" s="32"/>
      <c r="Z10" s="36">
        <f>Y10-T10</f>
        <v>0</v>
      </c>
      <c r="AA10" s="18" t="str">
        <f>IF(Z10&gt;0,Z10*296, "0.00")</f>
        <v>0.00</v>
      </c>
      <c r="AB10" s="46">
        <f>AA10*6%</f>
        <v>0</v>
      </c>
      <c r="AC10" s="31">
        <f>(AA10+AB10)</f>
        <v>0</v>
      </c>
      <c r="AD10" s="13"/>
      <c r="AE10" s="36">
        <f>AD10-Y10</f>
        <v>0</v>
      </c>
      <c r="AF10" s="18" t="str">
        <f>IF(AE10&gt;0,AE10*296, "0.00")</f>
        <v>0.00</v>
      </c>
      <c r="AG10" s="46">
        <f>AF10*6%</f>
        <v>0</v>
      </c>
      <c r="AH10" s="31">
        <f>(AF10+AG10)</f>
        <v>0</v>
      </c>
      <c r="AI10" s="13"/>
      <c r="AJ10" s="48">
        <f>AI10-AD10</f>
        <v>0</v>
      </c>
      <c r="AK10" s="49" t="str">
        <f>IF(AJ10&gt;0,AJ10*252.28, "0.00")</f>
        <v>0.00</v>
      </c>
      <c r="AL10" s="46">
        <f>AK10*0.06</f>
        <v>0</v>
      </c>
      <c r="AM10" s="31">
        <f>(AK10+AL10)</f>
        <v>0</v>
      </c>
      <c r="AN10" s="13"/>
      <c r="AO10" s="65">
        <f>(AN10-AI10)</f>
        <v>0</v>
      </c>
      <c r="AP10" s="49" t="str">
        <f>IF(AO10&gt;0,AO10*235.6, "0.00")</f>
        <v>0.00</v>
      </c>
      <c r="AQ10" s="50">
        <f>(AP10*6%)</f>
        <v>0</v>
      </c>
      <c r="AR10" s="31">
        <f>(AP10+AQ10)</f>
        <v>0</v>
      </c>
      <c r="AS10" s="13"/>
      <c r="AT10" s="65">
        <f>(AS10-AN10)</f>
        <v>0</v>
      </c>
      <c r="AU10" s="49" t="str">
        <f>IF(AT10&gt;0,AT10*235.05, "0.00")</f>
        <v>0.00</v>
      </c>
      <c r="AV10" s="46">
        <f>(AU10*6%)</f>
        <v>0</v>
      </c>
      <c r="AW10" s="31">
        <f>(AU10+AV10)</f>
        <v>0</v>
      </c>
      <c r="AX10" s="13"/>
      <c r="AY10" s="65"/>
      <c r="AZ10" s="65" t="str">
        <f>IF(AY10&gt;0,AY10*229.55, "0.00")</f>
        <v>0.00</v>
      </c>
      <c r="BA10" s="46">
        <f>(AZ10*6%)</f>
        <v>0</v>
      </c>
      <c r="BB10" s="31">
        <f>(AZ10+BA10)</f>
        <v>0</v>
      </c>
      <c r="BC10" s="74">
        <v>2.56</v>
      </c>
      <c r="BD10" s="49">
        <f>BC10-AX10</f>
        <v>2.56</v>
      </c>
      <c r="BE10" s="49">
        <f>IF(BD10&gt;0,BD10*232,"0.00")</f>
        <v>593.91999999999996</v>
      </c>
      <c r="BF10" s="46">
        <f>BE10*6%</f>
        <v>35.635199999999998</v>
      </c>
      <c r="BG10" s="31">
        <f>BE10+BF10</f>
        <v>629.55520000000001</v>
      </c>
      <c r="BH10" s="13"/>
      <c r="BI10" s="49">
        <f>BH10-BC10</f>
        <v>-2.56</v>
      </c>
      <c r="BJ10" s="49" t="str">
        <f>IF(BI10&gt;0,BI10*231.8,"0.00")</f>
        <v>0.00</v>
      </c>
      <c r="BK10" s="46">
        <f>BJ10*6%</f>
        <v>0</v>
      </c>
      <c r="BL10" s="31">
        <f>BJ10+BK10</f>
        <v>0</v>
      </c>
    </row>
    <row r="11" spans="1:64" ht="18" customHeight="1">
      <c r="A11" s="8">
        <v>2</v>
      </c>
      <c r="B11" s="34" t="s">
        <v>138</v>
      </c>
      <c r="C11" s="104"/>
      <c r="D11" s="26">
        <v>127.1</v>
      </c>
      <c r="E11" s="26">
        <v>137.97999999999999</v>
      </c>
      <c r="F11" s="30">
        <f t="shared" ref="F11:F18" si="0">E11-D11</f>
        <v>10.879999999999995</v>
      </c>
      <c r="G11" s="45">
        <f t="shared" ref="G11:G18" si="1">IF(F11&gt;0,F11*241.6,"0.00")</f>
        <v>2628.6079999999988</v>
      </c>
      <c r="H11" s="47">
        <f t="shared" ref="H11:H18" si="2">(G11*6%)</f>
        <v>157.71647999999993</v>
      </c>
      <c r="I11" s="31">
        <f t="shared" ref="I11:I18" si="3">G11+H11</f>
        <v>2786.3244799999989</v>
      </c>
      <c r="J11" s="26">
        <v>149.18</v>
      </c>
      <c r="K11" s="18">
        <f t="shared" ref="K11:K18" si="4">J11-E11</f>
        <v>11.200000000000017</v>
      </c>
      <c r="L11" s="18">
        <f t="shared" ref="L11:L18" si="5">IF(K11&gt;0,K11*250.95,"0.00")</f>
        <v>2810.640000000004</v>
      </c>
      <c r="M11" s="46">
        <f t="shared" ref="M11:M18" si="6">(L11*6%)</f>
        <v>168.63840000000025</v>
      </c>
      <c r="N11" s="31">
        <f t="shared" ref="N11:N18" si="7">(L11+M11)</f>
        <v>2979.2784000000042</v>
      </c>
      <c r="O11" s="26">
        <v>157.28</v>
      </c>
      <c r="P11" s="36">
        <f t="shared" ref="P11:P18" si="8">O11-J11</f>
        <v>8.0999999999999943</v>
      </c>
      <c r="Q11" s="36">
        <f t="shared" ref="Q11:Q18" si="9">IF(P11&gt;0,P11*248.06,"0.00")</f>
        <v>2009.2859999999987</v>
      </c>
      <c r="R11" s="46">
        <f t="shared" ref="R11:R18" si="10">(Q11*6%)</f>
        <v>120.55715999999991</v>
      </c>
      <c r="S11" s="31">
        <f t="shared" ref="S11:S18" si="11">(Q11+R11)</f>
        <v>2129.8431599999985</v>
      </c>
      <c r="T11" s="26">
        <v>168.828</v>
      </c>
      <c r="U11" s="36">
        <f t="shared" ref="U11:U18" si="12">T11-O11</f>
        <v>11.548000000000002</v>
      </c>
      <c r="V11" s="36">
        <f t="shared" ref="V11:V18" si="13">IF(U11&gt;0,U11*358.9,"0.00")</f>
        <v>4144.5772000000006</v>
      </c>
      <c r="W11" s="46">
        <f t="shared" ref="W11:W18" si="14">V11*6%</f>
        <v>248.67463200000003</v>
      </c>
      <c r="X11" s="31">
        <f t="shared" ref="X11:X18" si="15">V11+W11</f>
        <v>4393.2518320000008</v>
      </c>
      <c r="Y11" s="26"/>
      <c r="Z11" s="36">
        <f t="shared" ref="Z11:Z18" si="16">Y11-T11</f>
        <v>-168.828</v>
      </c>
      <c r="AA11" s="18" t="str">
        <f t="shared" ref="AA11:AA18" si="17">IF(Z11&gt;0,Z11*296, "0.00")</f>
        <v>0.00</v>
      </c>
      <c r="AB11" s="46">
        <f t="shared" ref="AB11:AB18" si="18">AA11*6%</f>
        <v>0</v>
      </c>
      <c r="AC11" s="31">
        <f t="shared" ref="AC11:AC18" si="19">(AA11+AB11)</f>
        <v>0</v>
      </c>
      <c r="AD11" s="26"/>
      <c r="AE11" s="36">
        <f t="shared" ref="AE11:AE18" si="20">AD11-Y11</f>
        <v>0</v>
      </c>
      <c r="AF11" s="18" t="str">
        <f t="shared" ref="AF11:AF18" si="21">IF(AE11&gt;0,AE11*296, "0.00")</f>
        <v>0.00</v>
      </c>
      <c r="AG11" s="46">
        <f t="shared" ref="AG11:AG18" si="22">AF11*6%</f>
        <v>0</v>
      </c>
      <c r="AH11" s="31">
        <f t="shared" ref="AH11:AH18" si="23">(AF11+AG11)</f>
        <v>0</v>
      </c>
      <c r="AI11" s="26"/>
      <c r="AJ11" s="48">
        <f t="shared" ref="AJ11:AJ18" si="24">AI11-AD11</f>
        <v>0</v>
      </c>
      <c r="AK11" s="49" t="str">
        <f t="shared" ref="AK11:AK18" si="25">IF(AJ11&gt;0,AJ11*252.28, "0.00")</f>
        <v>0.00</v>
      </c>
      <c r="AL11" s="46">
        <f t="shared" ref="AL11:AL18" si="26">AK11*0.06</f>
        <v>0</v>
      </c>
      <c r="AM11" s="31">
        <f t="shared" ref="AM11:AM18" si="27">(AK11+AL11)</f>
        <v>0</v>
      </c>
      <c r="AN11" s="33"/>
      <c r="AO11" s="65">
        <f t="shared" ref="AO11:AO18" si="28">(AN11-AI11)</f>
        <v>0</v>
      </c>
      <c r="AP11" s="49" t="str">
        <f t="shared" ref="AP11:AP18" si="29">IF(AO11&gt;0,AO11*235.6, "0.00")</f>
        <v>0.00</v>
      </c>
      <c r="AQ11" s="50">
        <f t="shared" ref="AQ11:AQ18" si="30">(AP11*6%)</f>
        <v>0</v>
      </c>
      <c r="AR11" s="31">
        <f t="shared" ref="AR11:AR18" si="31">(AP11+AQ11)</f>
        <v>0</v>
      </c>
      <c r="AS11" s="33"/>
      <c r="AT11" s="65">
        <f t="shared" ref="AT11:AT18" si="32">(AS11-AN11)</f>
        <v>0</v>
      </c>
      <c r="AU11" s="49" t="str">
        <f t="shared" ref="AU11:AU18" si="33">IF(AT11&gt;0,AT11*235.05, "0.00")</f>
        <v>0.00</v>
      </c>
      <c r="AV11" s="46">
        <f t="shared" ref="AV11:AV18" si="34">(AU11*6%)</f>
        <v>0</v>
      </c>
      <c r="AW11" s="31">
        <f t="shared" ref="AW11:AW18" si="35">(AU11+AV11)</f>
        <v>0</v>
      </c>
      <c r="AX11" s="26">
        <v>96.98</v>
      </c>
      <c r="AY11" s="65"/>
      <c r="AZ11" s="65" t="str">
        <f t="shared" ref="AZ11:AZ18" si="36">IF(AY11&gt;0,AY11*229.55, "0.00")</f>
        <v>0.00</v>
      </c>
      <c r="BA11" s="46">
        <f t="shared" ref="BA11:BA18" si="37">(AZ11*6%)</f>
        <v>0</v>
      </c>
      <c r="BB11" s="31">
        <f t="shared" ref="BB11:BB18" si="38">(AZ11+BA11)</f>
        <v>0</v>
      </c>
      <c r="BC11" s="26">
        <v>118.53</v>
      </c>
      <c r="BD11" s="49">
        <f t="shared" ref="BD11:BD16" si="39">BC11-AX11</f>
        <v>21.549999999999997</v>
      </c>
      <c r="BE11" s="49">
        <f t="shared" ref="BE11:BE18" si="40">IF(BD11&gt;0,BD11*232,"0.00")</f>
        <v>4999.5999999999995</v>
      </c>
      <c r="BF11" s="46">
        <f t="shared" ref="BF11:BF18" si="41">BE11*6%</f>
        <v>299.97599999999994</v>
      </c>
      <c r="BG11" s="31">
        <f t="shared" ref="BG11:BG18" si="42">BE11+BF11</f>
        <v>5299.5759999999991</v>
      </c>
      <c r="BH11" s="26"/>
      <c r="BI11" s="49">
        <f t="shared" ref="BI11:BI18" si="43">BH11-BC11</f>
        <v>-118.53</v>
      </c>
      <c r="BJ11" s="49" t="str">
        <f t="shared" ref="BJ11:BJ18" si="44">IF(BI11&gt;0,BI11*231.8,"0.00")</f>
        <v>0.00</v>
      </c>
      <c r="BK11" s="46">
        <f t="shared" ref="BK11:BK18" si="45">BJ11*6%</f>
        <v>0</v>
      </c>
      <c r="BL11" s="31">
        <f t="shared" ref="BL11:BL18" si="46">BJ11+BK11</f>
        <v>0</v>
      </c>
    </row>
    <row r="12" spans="1:64" ht="18" customHeight="1">
      <c r="A12" s="41">
        <v>3</v>
      </c>
      <c r="B12" s="34" t="s">
        <v>139</v>
      </c>
      <c r="C12" s="104"/>
      <c r="D12" s="26">
        <v>40.200000000000003</v>
      </c>
      <c r="E12" s="26">
        <v>43.933</v>
      </c>
      <c r="F12" s="30">
        <f t="shared" si="0"/>
        <v>3.732999999999997</v>
      </c>
      <c r="G12" s="45">
        <f t="shared" si="1"/>
        <v>901.89279999999928</v>
      </c>
      <c r="H12" s="47">
        <f t="shared" si="2"/>
        <v>54.113567999999958</v>
      </c>
      <c r="I12" s="31">
        <f t="shared" si="3"/>
        <v>956.00636799999927</v>
      </c>
      <c r="J12" s="26">
        <v>46.88</v>
      </c>
      <c r="K12" s="18">
        <f t="shared" si="4"/>
        <v>2.9470000000000027</v>
      </c>
      <c r="L12" s="18">
        <f t="shared" si="5"/>
        <v>739.54965000000061</v>
      </c>
      <c r="M12" s="46">
        <f t="shared" si="6"/>
        <v>44.372979000000036</v>
      </c>
      <c r="N12" s="31">
        <f t="shared" si="7"/>
        <v>783.9226290000006</v>
      </c>
      <c r="O12" s="26">
        <v>52.057000000000002</v>
      </c>
      <c r="P12" s="36">
        <f t="shared" si="8"/>
        <v>5.1769999999999996</v>
      </c>
      <c r="Q12" s="36">
        <f t="shared" si="9"/>
        <v>1284.2066199999999</v>
      </c>
      <c r="R12" s="46">
        <f t="shared" si="10"/>
        <v>77.052397199999987</v>
      </c>
      <c r="S12" s="31">
        <f t="shared" si="11"/>
        <v>1361.2590172</v>
      </c>
      <c r="T12" s="26">
        <v>54.798000000000002</v>
      </c>
      <c r="U12" s="36">
        <f t="shared" si="12"/>
        <v>2.7409999999999997</v>
      </c>
      <c r="V12" s="36">
        <f t="shared" si="13"/>
        <v>983.7448999999998</v>
      </c>
      <c r="W12" s="46">
        <f t="shared" si="14"/>
        <v>59.024693999999982</v>
      </c>
      <c r="X12" s="31">
        <f t="shared" si="15"/>
        <v>1042.7695939999999</v>
      </c>
      <c r="Y12" s="26"/>
      <c r="Z12" s="36">
        <f t="shared" si="16"/>
        <v>-54.798000000000002</v>
      </c>
      <c r="AA12" s="18" t="str">
        <f t="shared" si="17"/>
        <v>0.00</v>
      </c>
      <c r="AB12" s="46">
        <f t="shared" si="18"/>
        <v>0</v>
      </c>
      <c r="AC12" s="31">
        <f t="shared" si="19"/>
        <v>0</v>
      </c>
      <c r="AD12" s="26"/>
      <c r="AE12" s="36">
        <f t="shared" si="20"/>
        <v>0</v>
      </c>
      <c r="AF12" s="18" t="str">
        <f t="shared" si="21"/>
        <v>0.00</v>
      </c>
      <c r="AG12" s="46">
        <f t="shared" si="22"/>
        <v>0</v>
      </c>
      <c r="AH12" s="31">
        <f t="shared" si="23"/>
        <v>0</v>
      </c>
      <c r="AI12" s="26"/>
      <c r="AJ12" s="48">
        <f t="shared" si="24"/>
        <v>0</v>
      </c>
      <c r="AK12" s="49" t="str">
        <f t="shared" si="25"/>
        <v>0.00</v>
      </c>
      <c r="AL12" s="46">
        <f t="shared" si="26"/>
        <v>0</v>
      </c>
      <c r="AM12" s="31">
        <f t="shared" si="27"/>
        <v>0</v>
      </c>
      <c r="AN12" s="26"/>
      <c r="AO12" s="65">
        <f t="shared" si="28"/>
        <v>0</v>
      </c>
      <c r="AP12" s="49" t="str">
        <f t="shared" si="29"/>
        <v>0.00</v>
      </c>
      <c r="AQ12" s="50">
        <f t="shared" si="30"/>
        <v>0</v>
      </c>
      <c r="AR12" s="31">
        <f t="shared" si="31"/>
        <v>0</v>
      </c>
      <c r="AS12" s="26"/>
      <c r="AT12" s="65">
        <f t="shared" si="32"/>
        <v>0</v>
      </c>
      <c r="AU12" s="49" t="str">
        <f t="shared" si="33"/>
        <v>0.00</v>
      </c>
      <c r="AV12" s="46">
        <f t="shared" si="34"/>
        <v>0</v>
      </c>
      <c r="AW12" s="31">
        <f t="shared" si="35"/>
        <v>0</v>
      </c>
      <c r="AX12" s="26">
        <v>30.62</v>
      </c>
      <c r="AY12" s="65"/>
      <c r="AZ12" s="49" t="str">
        <f t="shared" si="36"/>
        <v>0.00</v>
      </c>
      <c r="BA12" s="46">
        <f t="shared" si="37"/>
        <v>0</v>
      </c>
      <c r="BB12" s="31">
        <f t="shared" si="38"/>
        <v>0</v>
      </c>
      <c r="BC12" s="26">
        <v>37.33</v>
      </c>
      <c r="BD12" s="49">
        <f t="shared" si="39"/>
        <v>6.7099999999999973</v>
      </c>
      <c r="BE12" s="49">
        <f t="shared" si="40"/>
        <v>1556.7199999999993</v>
      </c>
      <c r="BF12" s="46">
        <f t="shared" si="41"/>
        <v>93.403199999999956</v>
      </c>
      <c r="BG12" s="31">
        <f t="shared" si="42"/>
        <v>1650.1231999999993</v>
      </c>
      <c r="BH12" s="26"/>
      <c r="BI12" s="49">
        <f t="shared" si="43"/>
        <v>-37.33</v>
      </c>
      <c r="BJ12" s="49" t="str">
        <f t="shared" si="44"/>
        <v>0.00</v>
      </c>
      <c r="BK12" s="46">
        <f t="shared" si="45"/>
        <v>0</v>
      </c>
      <c r="BL12" s="31">
        <f t="shared" si="46"/>
        <v>0</v>
      </c>
    </row>
    <row r="13" spans="1:64" ht="18" customHeight="1">
      <c r="A13" s="8">
        <v>4</v>
      </c>
      <c r="B13" s="79" t="s">
        <v>140</v>
      </c>
      <c r="C13" s="104"/>
      <c r="D13" s="33">
        <v>0.127</v>
      </c>
      <c r="E13" s="26">
        <v>0.127</v>
      </c>
      <c r="F13" s="30"/>
      <c r="G13" s="45" t="str">
        <f t="shared" si="1"/>
        <v>0.00</v>
      </c>
      <c r="H13" s="47">
        <f t="shared" si="2"/>
        <v>0</v>
      </c>
      <c r="I13" s="31">
        <f t="shared" si="3"/>
        <v>0</v>
      </c>
      <c r="J13" s="26">
        <v>0.74199999999999999</v>
      </c>
      <c r="K13" s="18">
        <f t="shared" si="4"/>
        <v>0.61499999999999999</v>
      </c>
      <c r="L13" s="18">
        <f t="shared" si="5"/>
        <v>154.33425</v>
      </c>
      <c r="M13" s="46">
        <f t="shared" si="6"/>
        <v>9.2600549999999995</v>
      </c>
      <c r="N13" s="31">
        <f t="shared" si="7"/>
        <v>163.59430499999999</v>
      </c>
      <c r="O13" s="26">
        <v>2.6339999999999999</v>
      </c>
      <c r="P13" s="36">
        <f t="shared" si="8"/>
        <v>1.8919999999999999</v>
      </c>
      <c r="Q13" s="36">
        <f t="shared" si="9"/>
        <v>469.32952</v>
      </c>
      <c r="R13" s="46">
        <f t="shared" si="10"/>
        <v>28.159771199999998</v>
      </c>
      <c r="S13" s="31">
        <f t="shared" si="11"/>
        <v>497.48929120000003</v>
      </c>
      <c r="T13" s="26"/>
      <c r="U13" s="36">
        <f t="shared" si="12"/>
        <v>-2.6339999999999999</v>
      </c>
      <c r="V13" s="36" t="str">
        <f t="shared" si="13"/>
        <v>0.00</v>
      </c>
      <c r="W13" s="46">
        <f t="shared" si="14"/>
        <v>0</v>
      </c>
      <c r="X13" s="31">
        <f t="shared" si="15"/>
        <v>0</v>
      </c>
      <c r="Y13" s="26"/>
      <c r="Z13" s="36">
        <f t="shared" si="16"/>
        <v>0</v>
      </c>
      <c r="AA13" s="18" t="str">
        <f t="shared" si="17"/>
        <v>0.00</v>
      </c>
      <c r="AB13" s="46">
        <f t="shared" si="18"/>
        <v>0</v>
      </c>
      <c r="AC13" s="31">
        <f t="shared" si="19"/>
        <v>0</v>
      </c>
      <c r="AD13" s="26"/>
      <c r="AE13" s="36">
        <f t="shared" si="20"/>
        <v>0</v>
      </c>
      <c r="AF13" s="18" t="str">
        <f t="shared" si="21"/>
        <v>0.00</v>
      </c>
      <c r="AG13" s="46">
        <f t="shared" si="22"/>
        <v>0</v>
      </c>
      <c r="AH13" s="31">
        <f t="shared" si="23"/>
        <v>0</v>
      </c>
      <c r="AI13" s="26"/>
      <c r="AJ13" s="48">
        <f t="shared" si="24"/>
        <v>0</v>
      </c>
      <c r="AK13" s="49" t="str">
        <f t="shared" si="25"/>
        <v>0.00</v>
      </c>
      <c r="AL13" s="46">
        <f t="shared" si="26"/>
        <v>0</v>
      </c>
      <c r="AM13" s="31">
        <f t="shared" si="27"/>
        <v>0</v>
      </c>
      <c r="AN13" s="26"/>
      <c r="AO13" s="65">
        <f t="shared" si="28"/>
        <v>0</v>
      </c>
      <c r="AP13" s="49" t="str">
        <f t="shared" si="29"/>
        <v>0.00</v>
      </c>
      <c r="AQ13" s="50">
        <f t="shared" si="30"/>
        <v>0</v>
      </c>
      <c r="AR13" s="31">
        <f t="shared" si="31"/>
        <v>0</v>
      </c>
      <c r="AS13" s="26"/>
      <c r="AT13" s="65">
        <f t="shared" si="32"/>
        <v>0</v>
      </c>
      <c r="AU13" s="49" t="str">
        <f t="shared" si="33"/>
        <v>0.00</v>
      </c>
      <c r="AV13" s="46">
        <f t="shared" si="34"/>
        <v>0</v>
      </c>
      <c r="AW13" s="31">
        <f t="shared" si="35"/>
        <v>0</v>
      </c>
      <c r="AX13" s="40"/>
      <c r="AY13" s="65"/>
      <c r="AZ13" s="49" t="str">
        <f t="shared" si="36"/>
        <v>0.00</v>
      </c>
      <c r="BA13" s="46">
        <f t="shared" si="37"/>
        <v>0</v>
      </c>
      <c r="BB13" s="31">
        <f t="shared" si="38"/>
        <v>0</v>
      </c>
      <c r="BC13" s="26"/>
      <c r="BD13" s="49">
        <f t="shared" si="39"/>
        <v>0</v>
      </c>
      <c r="BE13" s="49" t="str">
        <f t="shared" si="40"/>
        <v>0.00</v>
      </c>
      <c r="BF13" s="46">
        <f t="shared" si="41"/>
        <v>0</v>
      </c>
      <c r="BG13" s="31">
        <f t="shared" si="42"/>
        <v>0</v>
      </c>
      <c r="BH13" s="26"/>
      <c r="BI13" s="49">
        <f t="shared" si="43"/>
        <v>0</v>
      </c>
      <c r="BJ13" s="49" t="str">
        <f t="shared" si="44"/>
        <v>0.00</v>
      </c>
      <c r="BK13" s="46">
        <f t="shared" si="45"/>
        <v>0</v>
      </c>
      <c r="BL13" s="31">
        <f t="shared" si="46"/>
        <v>0</v>
      </c>
    </row>
    <row r="14" spans="1:64" ht="18" customHeight="1">
      <c r="A14" s="41">
        <v>5</v>
      </c>
      <c r="B14" s="60" t="s">
        <v>141</v>
      </c>
      <c r="C14" s="104"/>
      <c r="D14" s="33">
        <v>0.32800000000000001</v>
      </c>
      <c r="E14" s="26"/>
      <c r="F14" s="30"/>
      <c r="G14" s="45" t="str">
        <f t="shared" si="1"/>
        <v>0.00</v>
      </c>
      <c r="H14" s="47">
        <f t="shared" si="2"/>
        <v>0</v>
      </c>
      <c r="I14" s="31">
        <f t="shared" si="3"/>
        <v>0</v>
      </c>
      <c r="J14" s="26"/>
      <c r="K14" s="18">
        <f t="shared" si="4"/>
        <v>0</v>
      </c>
      <c r="L14" s="18" t="str">
        <f t="shared" si="5"/>
        <v>0.00</v>
      </c>
      <c r="M14" s="46">
        <f t="shared" si="6"/>
        <v>0</v>
      </c>
      <c r="N14" s="31">
        <f t="shared" si="7"/>
        <v>0</v>
      </c>
      <c r="O14" s="26"/>
      <c r="P14" s="36">
        <f t="shared" si="8"/>
        <v>0</v>
      </c>
      <c r="Q14" s="36" t="str">
        <f t="shared" si="9"/>
        <v>0.00</v>
      </c>
      <c r="R14" s="46">
        <f t="shared" si="10"/>
        <v>0</v>
      </c>
      <c r="S14" s="31">
        <f t="shared" si="11"/>
        <v>0</v>
      </c>
      <c r="T14" s="26"/>
      <c r="U14" s="36">
        <f t="shared" si="12"/>
        <v>0</v>
      </c>
      <c r="V14" s="36" t="str">
        <f t="shared" si="13"/>
        <v>0.00</v>
      </c>
      <c r="W14" s="46">
        <f t="shared" si="14"/>
        <v>0</v>
      </c>
      <c r="X14" s="31">
        <f t="shared" si="15"/>
        <v>0</v>
      </c>
      <c r="Y14" s="26"/>
      <c r="Z14" s="36">
        <f t="shared" si="16"/>
        <v>0</v>
      </c>
      <c r="AA14" s="18" t="str">
        <f t="shared" si="17"/>
        <v>0.00</v>
      </c>
      <c r="AB14" s="46">
        <f t="shared" si="18"/>
        <v>0</v>
      </c>
      <c r="AC14" s="31">
        <f t="shared" si="19"/>
        <v>0</v>
      </c>
      <c r="AD14" s="26"/>
      <c r="AE14" s="36">
        <f t="shared" si="20"/>
        <v>0</v>
      </c>
      <c r="AF14" s="18" t="str">
        <f t="shared" si="21"/>
        <v>0.00</v>
      </c>
      <c r="AG14" s="46">
        <f t="shared" si="22"/>
        <v>0</v>
      </c>
      <c r="AH14" s="31">
        <f t="shared" si="23"/>
        <v>0</v>
      </c>
      <c r="AI14" s="26"/>
      <c r="AJ14" s="48">
        <f t="shared" si="24"/>
        <v>0</v>
      </c>
      <c r="AK14" s="49" t="str">
        <f t="shared" si="25"/>
        <v>0.00</v>
      </c>
      <c r="AL14" s="46">
        <f t="shared" si="26"/>
        <v>0</v>
      </c>
      <c r="AM14" s="31">
        <f t="shared" si="27"/>
        <v>0</v>
      </c>
      <c r="AN14" s="26"/>
      <c r="AO14" s="65">
        <f t="shared" si="28"/>
        <v>0</v>
      </c>
      <c r="AP14" s="49" t="str">
        <f t="shared" si="29"/>
        <v>0.00</v>
      </c>
      <c r="AQ14" s="50">
        <f t="shared" si="30"/>
        <v>0</v>
      </c>
      <c r="AR14" s="31">
        <f t="shared" si="31"/>
        <v>0</v>
      </c>
      <c r="AS14" s="26"/>
      <c r="AT14" s="65">
        <f t="shared" si="32"/>
        <v>0</v>
      </c>
      <c r="AU14" s="49" t="str">
        <f t="shared" si="33"/>
        <v>0.00</v>
      </c>
      <c r="AV14" s="46">
        <f t="shared" si="34"/>
        <v>0</v>
      </c>
      <c r="AW14" s="31">
        <f t="shared" si="35"/>
        <v>0</v>
      </c>
      <c r="AX14" s="40"/>
      <c r="AY14" s="65"/>
      <c r="AZ14" s="49" t="str">
        <f t="shared" si="36"/>
        <v>0.00</v>
      </c>
      <c r="BA14" s="46">
        <f t="shared" si="37"/>
        <v>0</v>
      </c>
      <c r="BB14" s="31">
        <f t="shared" si="38"/>
        <v>0</v>
      </c>
      <c r="BC14" s="26"/>
      <c r="BD14" s="49">
        <f t="shared" si="39"/>
        <v>0</v>
      </c>
      <c r="BE14" s="49" t="str">
        <f t="shared" si="40"/>
        <v>0.00</v>
      </c>
      <c r="BF14" s="46">
        <f t="shared" si="41"/>
        <v>0</v>
      </c>
      <c r="BG14" s="31">
        <f t="shared" si="42"/>
        <v>0</v>
      </c>
      <c r="BH14" s="26"/>
      <c r="BI14" s="49">
        <f t="shared" si="43"/>
        <v>0</v>
      </c>
      <c r="BJ14" s="49" t="str">
        <f t="shared" si="44"/>
        <v>0.00</v>
      </c>
      <c r="BK14" s="46">
        <f t="shared" si="45"/>
        <v>0</v>
      </c>
      <c r="BL14" s="31">
        <f t="shared" si="46"/>
        <v>0</v>
      </c>
    </row>
    <row r="15" spans="1:64" ht="18" customHeight="1">
      <c r="A15" s="8">
        <v>6</v>
      </c>
      <c r="B15" s="34" t="s">
        <v>142</v>
      </c>
      <c r="C15" s="104"/>
      <c r="D15" s="26">
        <v>29.98</v>
      </c>
      <c r="E15" s="26">
        <v>33.71</v>
      </c>
      <c r="F15" s="30">
        <f t="shared" si="0"/>
        <v>3.7300000000000004</v>
      </c>
      <c r="G15" s="45">
        <f t="shared" si="1"/>
        <v>901.16800000000012</v>
      </c>
      <c r="H15" s="47">
        <f t="shared" si="2"/>
        <v>54.070080000000004</v>
      </c>
      <c r="I15" s="31">
        <f t="shared" si="3"/>
        <v>955.23808000000008</v>
      </c>
      <c r="J15" s="26">
        <v>36.82</v>
      </c>
      <c r="K15" s="18">
        <f t="shared" si="4"/>
        <v>3.1099999999999994</v>
      </c>
      <c r="L15" s="18">
        <f t="shared" si="5"/>
        <v>780.45449999999983</v>
      </c>
      <c r="M15" s="46">
        <f t="shared" si="6"/>
        <v>46.827269999999984</v>
      </c>
      <c r="N15" s="31">
        <f t="shared" si="7"/>
        <v>827.28176999999982</v>
      </c>
      <c r="O15" s="26">
        <v>39.387999999999998</v>
      </c>
      <c r="P15" s="36">
        <f t="shared" si="8"/>
        <v>2.5679999999999978</v>
      </c>
      <c r="Q15" s="36">
        <f t="shared" si="9"/>
        <v>637.01807999999949</v>
      </c>
      <c r="R15" s="46">
        <f t="shared" si="10"/>
        <v>38.221084799999964</v>
      </c>
      <c r="S15" s="31">
        <f t="shared" si="11"/>
        <v>675.23916479999946</v>
      </c>
      <c r="T15" s="26">
        <v>42.045000000000002</v>
      </c>
      <c r="U15" s="36">
        <f t="shared" si="12"/>
        <v>2.6570000000000036</v>
      </c>
      <c r="V15" s="36">
        <f t="shared" si="13"/>
        <v>953.59730000000127</v>
      </c>
      <c r="W15" s="46">
        <f t="shared" si="14"/>
        <v>57.215838000000076</v>
      </c>
      <c r="X15" s="31">
        <f t="shared" si="15"/>
        <v>1010.8131380000013</v>
      </c>
      <c r="Y15" s="26"/>
      <c r="Z15" s="36">
        <f t="shared" si="16"/>
        <v>-42.045000000000002</v>
      </c>
      <c r="AA15" s="18" t="str">
        <f t="shared" si="17"/>
        <v>0.00</v>
      </c>
      <c r="AB15" s="46">
        <f t="shared" si="18"/>
        <v>0</v>
      </c>
      <c r="AC15" s="31">
        <f t="shared" si="19"/>
        <v>0</v>
      </c>
      <c r="AD15" s="26"/>
      <c r="AE15" s="36">
        <f t="shared" si="20"/>
        <v>0</v>
      </c>
      <c r="AF15" s="18" t="str">
        <f t="shared" si="21"/>
        <v>0.00</v>
      </c>
      <c r="AG15" s="46">
        <f t="shared" si="22"/>
        <v>0</v>
      </c>
      <c r="AH15" s="31">
        <f t="shared" si="23"/>
        <v>0</v>
      </c>
      <c r="AI15" s="26"/>
      <c r="AJ15" s="48">
        <f t="shared" si="24"/>
        <v>0</v>
      </c>
      <c r="AK15" s="49" t="str">
        <f t="shared" si="25"/>
        <v>0.00</v>
      </c>
      <c r="AL15" s="46">
        <f t="shared" si="26"/>
        <v>0</v>
      </c>
      <c r="AM15" s="31">
        <f t="shared" si="27"/>
        <v>0</v>
      </c>
      <c r="AN15" s="26"/>
      <c r="AO15" s="65">
        <f t="shared" si="28"/>
        <v>0</v>
      </c>
      <c r="AP15" s="49" t="str">
        <f t="shared" si="29"/>
        <v>0.00</v>
      </c>
      <c r="AQ15" s="50">
        <f t="shared" si="30"/>
        <v>0</v>
      </c>
      <c r="AR15" s="31">
        <f t="shared" si="31"/>
        <v>0</v>
      </c>
      <c r="AS15" s="26"/>
      <c r="AT15" s="65">
        <f t="shared" si="32"/>
        <v>0</v>
      </c>
      <c r="AU15" s="49" t="str">
        <f t="shared" si="33"/>
        <v>0.00</v>
      </c>
      <c r="AV15" s="46">
        <f t="shared" si="34"/>
        <v>0</v>
      </c>
      <c r="AW15" s="31">
        <f t="shared" si="35"/>
        <v>0</v>
      </c>
      <c r="AX15" s="26">
        <v>20.95</v>
      </c>
      <c r="AY15" s="65"/>
      <c r="AZ15" s="49" t="str">
        <f t="shared" si="36"/>
        <v>0.00</v>
      </c>
      <c r="BA15" s="46">
        <f t="shared" si="37"/>
        <v>0</v>
      </c>
      <c r="BB15" s="31">
        <f t="shared" si="38"/>
        <v>0</v>
      </c>
      <c r="BC15" s="26">
        <v>26.74</v>
      </c>
      <c r="BD15" s="49">
        <f t="shared" si="39"/>
        <v>5.7899999999999991</v>
      </c>
      <c r="BE15" s="49">
        <f t="shared" si="40"/>
        <v>1343.2799999999997</v>
      </c>
      <c r="BF15" s="46">
        <f t="shared" si="41"/>
        <v>80.596799999999988</v>
      </c>
      <c r="BG15" s="31">
        <f t="shared" si="42"/>
        <v>1423.8767999999998</v>
      </c>
      <c r="BH15" s="26"/>
      <c r="BI15" s="49">
        <f t="shared" si="43"/>
        <v>-26.74</v>
      </c>
      <c r="BJ15" s="49" t="str">
        <f t="shared" si="44"/>
        <v>0.00</v>
      </c>
      <c r="BK15" s="46">
        <f t="shared" si="45"/>
        <v>0</v>
      </c>
      <c r="BL15" s="31">
        <f t="shared" si="46"/>
        <v>0</v>
      </c>
    </row>
    <row r="16" spans="1:64" ht="18" customHeight="1">
      <c r="A16" s="41">
        <v>7</v>
      </c>
      <c r="B16" s="34" t="s">
        <v>143</v>
      </c>
      <c r="C16" s="104"/>
      <c r="D16" s="26">
        <v>30.97</v>
      </c>
      <c r="E16" s="26">
        <v>30.97</v>
      </c>
      <c r="F16" s="30"/>
      <c r="G16" s="45" t="str">
        <f t="shared" si="1"/>
        <v>0.00</v>
      </c>
      <c r="H16" s="47">
        <f t="shared" si="2"/>
        <v>0</v>
      </c>
      <c r="I16" s="31">
        <f t="shared" si="3"/>
        <v>0</v>
      </c>
      <c r="J16" s="26">
        <v>31.56</v>
      </c>
      <c r="K16" s="18">
        <f t="shared" si="4"/>
        <v>0.58999999999999986</v>
      </c>
      <c r="L16" s="18">
        <f t="shared" si="5"/>
        <v>148.06049999999996</v>
      </c>
      <c r="M16" s="46">
        <f t="shared" si="6"/>
        <v>8.8836299999999966</v>
      </c>
      <c r="N16" s="31">
        <f t="shared" si="7"/>
        <v>156.94412999999997</v>
      </c>
      <c r="O16" s="26">
        <v>36.976999999999997</v>
      </c>
      <c r="P16" s="36">
        <f t="shared" si="8"/>
        <v>5.416999999999998</v>
      </c>
      <c r="Q16" s="36">
        <f t="shared" si="9"/>
        <v>1343.7410199999995</v>
      </c>
      <c r="R16" s="46">
        <f t="shared" si="10"/>
        <v>80.624461199999971</v>
      </c>
      <c r="S16" s="31">
        <f t="shared" si="11"/>
        <v>1424.3654811999995</v>
      </c>
      <c r="T16" s="26">
        <v>38.112000000000002</v>
      </c>
      <c r="U16" s="36">
        <f t="shared" si="12"/>
        <v>1.1350000000000051</v>
      </c>
      <c r="V16" s="36">
        <f t="shared" si="13"/>
        <v>407.35150000000181</v>
      </c>
      <c r="W16" s="46">
        <f t="shared" si="14"/>
        <v>24.441090000000109</v>
      </c>
      <c r="X16" s="31">
        <f t="shared" si="15"/>
        <v>431.79259000000189</v>
      </c>
      <c r="Y16" s="26"/>
      <c r="Z16" s="36">
        <f t="shared" si="16"/>
        <v>-38.112000000000002</v>
      </c>
      <c r="AA16" s="18" t="str">
        <f t="shared" si="17"/>
        <v>0.00</v>
      </c>
      <c r="AB16" s="46">
        <f t="shared" si="18"/>
        <v>0</v>
      </c>
      <c r="AC16" s="31">
        <f t="shared" si="19"/>
        <v>0</v>
      </c>
      <c r="AD16" s="26"/>
      <c r="AE16" s="36">
        <f t="shared" si="20"/>
        <v>0</v>
      </c>
      <c r="AF16" s="18" t="str">
        <f t="shared" si="21"/>
        <v>0.00</v>
      </c>
      <c r="AG16" s="46">
        <f t="shared" si="22"/>
        <v>0</v>
      </c>
      <c r="AH16" s="31">
        <f t="shared" si="23"/>
        <v>0</v>
      </c>
      <c r="AI16" s="26"/>
      <c r="AJ16" s="48">
        <f t="shared" si="24"/>
        <v>0</v>
      </c>
      <c r="AK16" s="49" t="str">
        <f t="shared" si="25"/>
        <v>0.00</v>
      </c>
      <c r="AL16" s="46">
        <f t="shared" si="26"/>
        <v>0</v>
      </c>
      <c r="AM16" s="31">
        <f t="shared" si="27"/>
        <v>0</v>
      </c>
      <c r="AN16" s="26"/>
      <c r="AO16" s="65">
        <f t="shared" si="28"/>
        <v>0</v>
      </c>
      <c r="AP16" s="49" t="str">
        <f t="shared" si="29"/>
        <v>0.00</v>
      </c>
      <c r="AQ16" s="50">
        <f t="shared" si="30"/>
        <v>0</v>
      </c>
      <c r="AR16" s="31">
        <f t="shared" si="31"/>
        <v>0</v>
      </c>
      <c r="AS16" s="26"/>
      <c r="AT16" s="65">
        <f t="shared" si="32"/>
        <v>0</v>
      </c>
      <c r="AU16" s="49" t="str">
        <f t="shared" si="33"/>
        <v>0.00</v>
      </c>
      <c r="AV16" s="46">
        <f t="shared" si="34"/>
        <v>0</v>
      </c>
      <c r="AW16" s="31">
        <f t="shared" si="35"/>
        <v>0</v>
      </c>
      <c r="AX16" s="26">
        <v>23.27</v>
      </c>
      <c r="AY16" s="65"/>
      <c r="AZ16" s="49" t="str">
        <f t="shared" si="36"/>
        <v>0.00</v>
      </c>
      <c r="BA16" s="46">
        <f t="shared" si="37"/>
        <v>0</v>
      </c>
      <c r="BB16" s="31">
        <f t="shared" si="38"/>
        <v>0</v>
      </c>
      <c r="BC16" s="26">
        <v>30.97</v>
      </c>
      <c r="BD16" s="49">
        <f t="shared" si="39"/>
        <v>7.6999999999999993</v>
      </c>
      <c r="BE16" s="49">
        <f t="shared" si="40"/>
        <v>1786.3999999999999</v>
      </c>
      <c r="BF16" s="46">
        <f t="shared" si="41"/>
        <v>107.18399999999998</v>
      </c>
      <c r="BG16" s="31">
        <f t="shared" si="42"/>
        <v>1893.5839999999998</v>
      </c>
      <c r="BH16" s="26"/>
      <c r="BI16" s="49">
        <f t="shared" si="43"/>
        <v>-30.97</v>
      </c>
      <c r="BJ16" s="49" t="str">
        <f t="shared" si="44"/>
        <v>0.00</v>
      </c>
      <c r="BK16" s="46">
        <f t="shared" si="45"/>
        <v>0</v>
      </c>
      <c r="BL16" s="31">
        <f t="shared" si="46"/>
        <v>0</v>
      </c>
    </row>
    <row r="17" spans="1:64" ht="18" customHeight="1">
      <c r="A17" s="8" t="s">
        <v>190</v>
      </c>
      <c r="B17" s="34" t="s">
        <v>145</v>
      </c>
      <c r="C17" s="104"/>
      <c r="D17" s="26">
        <v>14.48</v>
      </c>
      <c r="E17" s="26">
        <v>15.33</v>
      </c>
      <c r="F17" s="30">
        <f t="shared" si="0"/>
        <v>0.84999999999999964</v>
      </c>
      <c r="G17" s="45">
        <f t="shared" si="1"/>
        <v>205.3599999999999</v>
      </c>
      <c r="H17" s="47">
        <f t="shared" si="2"/>
        <v>12.321599999999993</v>
      </c>
      <c r="I17" s="31">
        <f t="shared" si="3"/>
        <v>217.68159999999989</v>
      </c>
      <c r="J17" s="26">
        <v>15.98</v>
      </c>
      <c r="K17" s="18">
        <f t="shared" si="4"/>
        <v>0.65000000000000036</v>
      </c>
      <c r="L17" s="18">
        <f t="shared" si="5"/>
        <v>163.11750000000009</v>
      </c>
      <c r="M17" s="46">
        <f t="shared" si="6"/>
        <v>9.787050000000006</v>
      </c>
      <c r="N17" s="31">
        <f t="shared" si="7"/>
        <v>172.90455000000009</v>
      </c>
      <c r="O17" s="26">
        <v>16.029</v>
      </c>
      <c r="P17" s="36">
        <f t="shared" si="8"/>
        <v>4.8999999999999488E-2</v>
      </c>
      <c r="Q17" s="36">
        <f t="shared" si="9"/>
        <v>12.154939999999874</v>
      </c>
      <c r="R17" s="46">
        <f t="shared" si="10"/>
        <v>0.72929639999999241</v>
      </c>
      <c r="S17" s="31">
        <f t="shared" si="11"/>
        <v>12.884236399999866</v>
      </c>
      <c r="T17" s="26">
        <v>16.483000000000001</v>
      </c>
      <c r="U17" s="36">
        <f t="shared" si="12"/>
        <v>0.45400000000000063</v>
      </c>
      <c r="V17" s="36">
        <f t="shared" si="13"/>
        <v>162.94060000000022</v>
      </c>
      <c r="W17" s="46">
        <f t="shared" si="14"/>
        <v>9.7764360000000128</v>
      </c>
      <c r="X17" s="31">
        <f t="shared" si="15"/>
        <v>172.71703600000023</v>
      </c>
      <c r="Y17" s="26"/>
      <c r="Z17" s="36">
        <f t="shared" si="16"/>
        <v>-16.483000000000001</v>
      </c>
      <c r="AA17" s="18" t="str">
        <f t="shared" si="17"/>
        <v>0.00</v>
      </c>
      <c r="AB17" s="46">
        <f t="shared" si="18"/>
        <v>0</v>
      </c>
      <c r="AC17" s="31">
        <f t="shared" si="19"/>
        <v>0</v>
      </c>
      <c r="AD17" s="26"/>
      <c r="AE17" s="36">
        <f t="shared" si="20"/>
        <v>0</v>
      </c>
      <c r="AF17" s="18" t="str">
        <f t="shared" si="21"/>
        <v>0.00</v>
      </c>
      <c r="AG17" s="46">
        <f t="shared" si="22"/>
        <v>0</v>
      </c>
      <c r="AH17" s="31">
        <f t="shared" si="23"/>
        <v>0</v>
      </c>
      <c r="AI17" s="26"/>
      <c r="AJ17" s="48">
        <f t="shared" si="24"/>
        <v>0</v>
      </c>
      <c r="AK17" s="49" t="str">
        <f t="shared" si="25"/>
        <v>0.00</v>
      </c>
      <c r="AL17" s="46">
        <f t="shared" si="26"/>
        <v>0</v>
      </c>
      <c r="AM17" s="31">
        <f t="shared" si="27"/>
        <v>0</v>
      </c>
      <c r="AN17" s="26"/>
      <c r="AO17" s="65">
        <f t="shared" si="28"/>
        <v>0</v>
      </c>
      <c r="AP17" s="49" t="str">
        <f t="shared" si="29"/>
        <v>0.00</v>
      </c>
      <c r="AQ17" s="50">
        <f t="shared" si="30"/>
        <v>0</v>
      </c>
      <c r="AR17" s="31">
        <f t="shared" si="31"/>
        <v>0</v>
      </c>
      <c r="AS17" s="26"/>
      <c r="AT17" s="65">
        <f t="shared" si="32"/>
        <v>0</v>
      </c>
      <c r="AU17" s="49" t="str">
        <f t="shared" si="33"/>
        <v>0.00</v>
      </c>
      <c r="AV17" s="46">
        <f t="shared" si="34"/>
        <v>0</v>
      </c>
      <c r="AW17" s="31">
        <f t="shared" si="35"/>
        <v>0</v>
      </c>
      <c r="AX17" s="26"/>
      <c r="AY17" s="65"/>
      <c r="AZ17" s="49" t="str">
        <f t="shared" si="36"/>
        <v>0.00</v>
      </c>
      <c r="BA17" s="46">
        <f t="shared" si="37"/>
        <v>0</v>
      </c>
      <c r="BB17" s="31">
        <f t="shared" si="38"/>
        <v>0</v>
      </c>
      <c r="BC17" s="26">
        <v>13.85</v>
      </c>
      <c r="BD17" s="49"/>
      <c r="BE17" s="49" t="str">
        <f t="shared" si="40"/>
        <v>0.00</v>
      </c>
      <c r="BF17" s="46">
        <f t="shared" si="41"/>
        <v>0</v>
      </c>
      <c r="BG17" s="31">
        <f t="shared" si="42"/>
        <v>0</v>
      </c>
      <c r="BH17" s="26"/>
      <c r="BI17" s="49">
        <f t="shared" si="43"/>
        <v>-13.85</v>
      </c>
      <c r="BJ17" s="49" t="str">
        <f t="shared" si="44"/>
        <v>0.00</v>
      </c>
      <c r="BK17" s="46">
        <f t="shared" si="45"/>
        <v>0</v>
      </c>
      <c r="BL17" s="31">
        <f t="shared" si="46"/>
        <v>0</v>
      </c>
    </row>
    <row r="18" spans="1:64" ht="18" customHeight="1">
      <c r="A18" s="41">
        <v>9</v>
      </c>
      <c r="B18" s="34" t="s">
        <v>146</v>
      </c>
      <c r="C18" s="104"/>
      <c r="D18" s="26">
        <v>24.65</v>
      </c>
      <c r="E18" s="26">
        <v>30.92</v>
      </c>
      <c r="F18" s="30">
        <f t="shared" si="0"/>
        <v>6.2700000000000031</v>
      </c>
      <c r="G18" s="45">
        <f t="shared" si="1"/>
        <v>1514.8320000000008</v>
      </c>
      <c r="H18" s="47">
        <f t="shared" si="2"/>
        <v>90.889920000000046</v>
      </c>
      <c r="I18" s="31">
        <f t="shared" si="3"/>
        <v>1605.7219200000009</v>
      </c>
      <c r="J18" s="26">
        <v>38.24</v>
      </c>
      <c r="K18" s="18">
        <f t="shared" si="4"/>
        <v>7.32</v>
      </c>
      <c r="L18" s="18">
        <f t="shared" si="5"/>
        <v>1836.954</v>
      </c>
      <c r="M18" s="46">
        <f t="shared" si="6"/>
        <v>110.21723999999999</v>
      </c>
      <c r="N18" s="31">
        <f t="shared" si="7"/>
        <v>1947.1712399999999</v>
      </c>
      <c r="O18" s="26">
        <v>44.878</v>
      </c>
      <c r="P18" s="36">
        <f t="shared" si="8"/>
        <v>6.6379999999999981</v>
      </c>
      <c r="Q18" s="36">
        <f t="shared" si="9"/>
        <v>1646.6222799999996</v>
      </c>
      <c r="R18" s="46">
        <f t="shared" si="10"/>
        <v>98.797336799999968</v>
      </c>
      <c r="S18" s="31">
        <f t="shared" si="11"/>
        <v>1745.4196167999996</v>
      </c>
      <c r="T18" s="26">
        <v>50.680999999999997</v>
      </c>
      <c r="U18" s="36">
        <f t="shared" si="12"/>
        <v>5.8029999999999973</v>
      </c>
      <c r="V18" s="36">
        <f t="shared" si="13"/>
        <v>2082.6966999999991</v>
      </c>
      <c r="W18" s="46">
        <f t="shared" si="14"/>
        <v>124.96180199999993</v>
      </c>
      <c r="X18" s="31">
        <f t="shared" si="15"/>
        <v>2207.6585019999989</v>
      </c>
      <c r="Y18" s="26"/>
      <c r="Z18" s="36">
        <f t="shared" si="16"/>
        <v>-50.680999999999997</v>
      </c>
      <c r="AA18" s="18" t="str">
        <f t="shared" si="17"/>
        <v>0.00</v>
      </c>
      <c r="AB18" s="46">
        <f t="shared" si="18"/>
        <v>0</v>
      </c>
      <c r="AC18" s="31">
        <f t="shared" si="19"/>
        <v>0</v>
      </c>
      <c r="AD18" s="26"/>
      <c r="AE18" s="36">
        <f t="shared" si="20"/>
        <v>0</v>
      </c>
      <c r="AF18" s="18" t="str">
        <f t="shared" si="21"/>
        <v>0.00</v>
      </c>
      <c r="AG18" s="46">
        <f t="shared" si="22"/>
        <v>0</v>
      </c>
      <c r="AH18" s="31">
        <f t="shared" si="23"/>
        <v>0</v>
      </c>
      <c r="AI18" s="26"/>
      <c r="AJ18" s="48">
        <f t="shared" si="24"/>
        <v>0</v>
      </c>
      <c r="AK18" s="49" t="str">
        <f t="shared" si="25"/>
        <v>0.00</v>
      </c>
      <c r="AL18" s="46">
        <f t="shared" si="26"/>
        <v>0</v>
      </c>
      <c r="AM18" s="31">
        <f t="shared" si="27"/>
        <v>0</v>
      </c>
      <c r="AN18" s="26"/>
      <c r="AO18" s="65">
        <f t="shared" si="28"/>
        <v>0</v>
      </c>
      <c r="AP18" s="49" t="str">
        <f t="shared" si="29"/>
        <v>0.00</v>
      </c>
      <c r="AQ18" s="50">
        <f t="shared" si="30"/>
        <v>0</v>
      </c>
      <c r="AR18" s="31">
        <f t="shared" si="31"/>
        <v>0</v>
      </c>
      <c r="AS18" s="26"/>
      <c r="AT18" s="65">
        <f t="shared" si="32"/>
        <v>0</v>
      </c>
      <c r="AU18" s="49" t="str">
        <f t="shared" si="33"/>
        <v>0.00</v>
      </c>
      <c r="AV18" s="46">
        <f t="shared" si="34"/>
        <v>0</v>
      </c>
      <c r="AW18" s="31">
        <f t="shared" si="35"/>
        <v>0</v>
      </c>
      <c r="AX18" s="26"/>
      <c r="AY18" s="65"/>
      <c r="AZ18" s="49" t="str">
        <f t="shared" si="36"/>
        <v>0.00</v>
      </c>
      <c r="BA18" s="46">
        <f t="shared" si="37"/>
        <v>0</v>
      </c>
      <c r="BB18" s="31">
        <f t="shared" si="38"/>
        <v>0</v>
      </c>
      <c r="BC18" s="26">
        <v>20.399999999999999</v>
      </c>
      <c r="BD18" s="49"/>
      <c r="BE18" s="49" t="str">
        <f t="shared" si="40"/>
        <v>0.00</v>
      </c>
      <c r="BF18" s="46">
        <f t="shared" si="41"/>
        <v>0</v>
      </c>
      <c r="BG18" s="31">
        <f t="shared" si="42"/>
        <v>0</v>
      </c>
      <c r="BH18" s="26"/>
      <c r="BI18" s="49">
        <f t="shared" si="43"/>
        <v>-20.399999999999999</v>
      </c>
      <c r="BJ18" s="49" t="str">
        <f t="shared" si="44"/>
        <v>0.00</v>
      </c>
      <c r="BK18" s="46">
        <f t="shared" si="45"/>
        <v>0</v>
      </c>
      <c r="BL18" s="31">
        <f t="shared" si="46"/>
        <v>0</v>
      </c>
    </row>
    <row r="19" spans="1:64" ht="33.75" customHeight="1">
      <c r="A19" s="99" t="s">
        <v>98</v>
      </c>
      <c r="B19" s="100"/>
      <c r="C19" s="100"/>
      <c r="D19" s="100"/>
      <c r="E19" s="101"/>
      <c r="F19" s="21">
        <f>SUM(F10:F18)</f>
        <v>25.462999999999994</v>
      </c>
      <c r="G19" s="21">
        <f>SUM(G10:G18)</f>
        <v>6151.8607999999986</v>
      </c>
      <c r="H19" s="21">
        <f>SUM(H10:H18)</f>
        <v>369.11164799999995</v>
      </c>
      <c r="I19" s="21">
        <f>SUM(I10:I18)</f>
        <v>6520.9724479999995</v>
      </c>
      <c r="J19" s="35"/>
      <c r="K19" s="20">
        <f>SUM(K10:K18)</f>
        <v>31.362000000000016</v>
      </c>
      <c r="L19" s="43">
        <f>SUM(L10:L18)</f>
        <v>7870.2939000000042</v>
      </c>
      <c r="M19" s="43">
        <f>SUM(M10:M18)</f>
        <v>472.21763400000032</v>
      </c>
      <c r="N19" s="43">
        <f>SUM(N10:N18)</f>
        <v>8342.5115340000048</v>
      </c>
      <c r="O19" s="20"/>
      <c r="P19" s="20">
        <f>SUM(P10:P18)</f>
        <v>32.085999999999984</v>
      </c>
      <c r="Q19" s="43">
        <f>SUM(Q10:Q18)</f>
        <v>7959.2531599999975</v>
      </c>
      <c r="R19" s="20">
        <f>SUM(R10:R18)</f>
        <v>477.55518959999989</v>
      </c>
      <c r="S19" s="43">
        <f>SUM(S10:S18)</f>
        <v>8436.8083495999981</v>
      </c>
      <c r="T19" s="35"/>
      <c r="U19" s="20">
        <f>SUM(U10:U18)</f>
        <v>14.529000000000009</v>
      </c>
      <c r="V19" s="43">
        <f>SUM(V10:V18)</f>
        <v>8734.9082000000017</v>
      </c>
      <c r="W19" s="43">
        <f>SUM(W10:W18)</f>
        <v>524.09449200000017</v>
      </c>
      <c r="X19" s="43">
        <f>SUM(X10:X18)</f>
        <v>9259.0026920000037</v>
      </c>
      <c r="Y19" s="35"/>
      <c r="Z19" s="20">
        <f>SUM(Z10:Z18)</f>
        <v>-370.947</v>
      </c>
      <c r="AA19" s="43">
        <f>SUM(AA10:AA18)</f>
        <v>0</v>
      </c>
      <c r="AB19" s="43">
        <f>SUM(AB10:AB18)</f>
        <v>0</v>
      </c>
      <c r="AC19" s="43">
        <f>SUM(AC10:AC18)</f>
        <v>0</v>
      </c>
      <c r="AD19" s="35"/>
      <c r="AE19" s="20">
        <f>SUM(AE10:AE18)</f>
        <v>0</v>
      </c>
      <c r="AF19" s="20">
        <f>SUM(AF10:AF18)</f>
        <v>0</v>
      </c>
      <c r="AG19" s="20">
        <f>SUM(AG10:AG18)</f>
        <v>0</v>
      </c>
      <c r="AH19" s="21">
        <f>SUM(AH10:AH18)</f>
        <v>0</v>
      </c>
      <c r="AI19" s="35"/>
      <c r="AJ19" s="20">
        <f>SUM(AJ10:AJ18)</f>
        <v>0</v>
      </c>
      <c r="AK19" s="43">
        <f>SUM(AK10:AK18)</f>
        <v>0</v>
      </c>
      <c r="AL19" s="21">
        <f>SUM(AL10:AL18)</f>
        <v>0</v>
      </c>
      <c r="AM19" s="43">
        <f>SUM(AM10:AM18)</f>
        <v>0</v>
      </c>
      <c r="AN19" s="35"/>
      <c r="AO19" s="21">
        <f>SUM(AO10:AO18)</f>
        <v>0</v>
      </c>
      <c r="AP19" s="43">
        <f>SUM(AP10:AP18)</f>
        <v>0</v>
      </c>
      <c r="AQ19" s="43">
        <f>SUM(AQ10:AQ18)</f>
        <v>0</v>
      </c>
      <c r="AR19" s="43">
        <f>SUM(AR10:AR18)</f>
        <v>0</v>
      </c>
      <c r="AS19" s="35"/>
      <c r="AT19" s="35"/>
      <c r="AU19" s="43">
        <f>SUM(AU10:AU18)</f>
        <v>0</v>
      </c>
      <c r="AV19" s="43">
        <f>SUM(AV10:AV18)</f>
        <v>0</v>
      </c>
      <c r="AW19" s="43">
        <f>SUM(AW10:AW18)</f>
        <v>0</v>
      </c>
      <c r="AX19" s="35"/>
      <c r="AY19" s="43">
        <f>SUM(AY10:AY18)</f>
        <v>0</v>
      </c>
      <c r="AZ19" s="43">
        <f>SUM(AZ10:AZ18)</f>
        <v>0</v>
      </c>
      <c r="BA19" s="43">
        <f>SUM(BA10:BA18)</f>
        <v>0</v>
      </c>
      <c r="BB19" s="43">
        <f>SUM(BB10:BB18)</f>
        <v>0</v>
      </c>
      <c r="BC19" s="35"/>
      <c r="BD19" s="43">
        <f>SUM(BD10:BD18)</f>
        <v>44.309999999999988</v>
      </c>
      <c r="BE19" s="43">
        <f>SUM(BE10:BE18)</f>
        <v>10279.919999999998</v>
      </c>
      <c r="BF19" s="43">
        <f>SUM(BF10:BF18)</f>
        <v>616.79519999999991</v>
      </c>
      <c r="BG19" s="43">
        <f>SUM(BG10:BG18)</f>
        <v>10896.715199999999</v>
      </c>
      <c r="BH19" s="35"/>
      <c r="BI19" s="35"/>
      <c r="BJ19" s="35">
        <f>SUM(BJ10:BJ18)</f>
        <v>0</v>
      </c>
      <c r="BK19" s="21">
        <f>SUM(BK10:BK18)</f>
        <v>0</v>
      </c>
      <c r="BL19" s="43">
        <f>SUM(BL10:BL18)</f>
        <v>0</v>
      </c>
    </row>
    <row r="22" spans="1:64" ht="18" customHeight="1">
      <c r="I22" s="75">
        <f>I19</f>
        <v>6520.9724479999995</v>
      </c>
      <c r="N22" s="75">
        <f>N19</f>
        <v>8342.5115340000048</v>
      </c>
      <c r="BG22" s="75">
        <v>10896</v>
      </c>
      <c r="BL22" s="75"/>
    </row>
    <row r="23" spans="1:64" ht="18" customHeight="1">
      <c r="I23" s="77">
        <v>5</v>
      </c>
      <c r="N23" s="77">
        <v>5</v>
      </c>
      <c r="BG23" s="76">
        <v>5</v>
      </c>
      <c r="BL23" s="75"/>
    </row>
    <row r="24" spans="1:64" ht="18" customHeight="1">
      <c r="I24" s="75">
        <f>I22/I23</f>
        <v>1304.1944896</v>
      </c>
      <c r="N24" s="75">
        <f>N22/N23</f>
        <v>1668.502306800001</v>
      </c>
      <c r="AN24" t="s">
        <v>99</v>
      </c>
      <c r="BG24" s="76">
        <f>BG22/BG23</f>
        <v>2179.1999999999998</v>
      </c>
      <c r="BL24" s="75"/>
    </row>
  </sheetData>
  <mergeCells count="32">
    <mergeCell ref="A19:E19"/>
    <mergeCell ref="T8:X8"/>
    <mergeCell ref="A6:A9"/>
    <mergeCell ref="B6:B9"/>
    <mergeCell ref="C11:C18"/>
    <mergeCell ref="J8:N8"/>
    <mergeCell ref="O8:S8"/>
    <mergeCell ref="Y8:AC8"/>
    <mergeCell ref="AX7:BB7"/>
    <mergeCell ref="BH7:BL7"/>
    <mergeCell ref="BC7:BG7"/>
    <mergeCell ref="AD8:AH8"/>
    <mergeCell ref="AI8:AM8"/>
    <mergeCell ref="AN8:AR8"/>
    <mergeCell ref="AS8:AW8"/>
    <mergeCell ref="AX8:BB8"/>
    <mergeCell ref="A1:BL2"/>
    <mergeCell ref="A3:BL4"/>
    <mergeCell ref="C6:D9"/>
    <mergeCell ref="BC8:BG8"/>
    <mergeCell ref="BH8:BL8"/>
    <mergeCell ref="J7:N7"/>
    <mergeCell ref="O7:S7"/>
    <mergeCell ref="T7:X7"/>
    <mergeCell ref="Y7:AC7"/>
    <mergeCell ref="AD7:AH7"/>
    <mergeCell ref="AI7:AM7"/>
    <mergeCell ref="E6:BL6"/>
    <mergeCell ref="E7:I7"/>
    <mergeCell ref="E8:I8"/>
    <mergeCell ref="AS7:AW7"/>
    <mergeCell ref="AN7:AR7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N21"/>
  <sheetViews>
    <sheetView zoomScale="80" zoomScaleNormal="80" workbookViewId="0">
      <pane xSplit="3" topLeftCell="D1" activePane="topRight" state="frozen"/>
      <selection pane="topRight" activeCell="J21" sqref="J21"/>
    </sheetView>
  </sheetViews>
  <sheetFormatPr defaultColWidth="9" defaultRowHeight="15"/>
  <cols>
    <col min="1" max="1" width="5.42578125" customWidth="1"/>
    <col min="2" max="2" width="17.85546875" customWidth="1"/>
    <col min="3" max="3" width="27" customWidth="1"/>
    <col min="4" max="4" width="20.7109375" customWidth="1"/>
    <col min="5" max="5" width="16" customWidth="1"/>
    <col min="6" max="6" width="16.140625" customWidth="1"/>
    <col min="7" max="7" width="16.42578125" customWidth="1"/>
    <col min="8" max="8" width="16.140625" customWidth="1"/>
    <col min="9" max="10" width="16.42578125" customWidth="1"/>
    <col min="11" max="12" width="16.7109375" customWidth="1"/>
    <col min="13" max="13" width="17.7109375" customWidth="1"/>
    <col min="14" max="14" width="17.5703125" customWidth="1"/>
    <col min="15" max="16" width="17.7109375" customWidth="1"/>
    <col min="17" max="17" width="17.5703125" hidden="1" customWidth="1"/>
    <col min="18" max="18" width="17.28515625" hidden="1" customWidth="1"/>
    <col min="19" max="21" width="17.5703125" hidden="1" customWidth="1"/>
    <col min="22" max="22" width="17" hidden="1" customWidth="1"/>
    <col min="23" max="23" width="16.7109375" hidden="1" customWidth="1"/>
    <col min="24" max="25" width="16.5703125" hidden="1" customWidth="1"/>
    <col min="26" max="28" width="16.7109375" hidden="1" customWidth="1"/>
    <col min="29" max="40" width="18.5703125" customWidth="1"/>
  </cols>
  <sheetData>
    <row r="1" spans="1:40" ht="18.75" customHeight="1">
      <c r="A1" s="116" t="s">
        <v>168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</row>
    <row r="2" spans="1:40" ht="15" customHeight="1">
      <c r="A2" s="116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</row>
    <row r="3" spans="1:40" ht="14.45" customHeight="1">
      <c r="A3" s="117" t="s">
        <v>169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  <c r="AL3" s="118"/>
      <c r="AM3" s="118"/>
      <c r="AN3" s="118"/>
    </row>
    <row r="4" spans="1:40" ht="14.45" customHeight="1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</row>
    <row r="5" spans="1:40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40" ht="20.100000000000001" customHeight="1">
      <c r="A6" s="102"/>
      <c r="B6" s="82" t="s">
        <v>100</v>
      </c>
      <c r="C6" s="115"/>
      <c r="D6" s="83"/>
      <c r="E6" s="94" t="s">
        <v>119</v>
      </c>
      <c r="F6" s="96"/>
      <c r="G6" s="94" t="s">
        <v>120</v>
      </c>
      <c r="H6" s="96"/>
      <c r="I6" s="94" t="s">
        <v>121</v>
      </c>
      <c r="J6" s="96"/>
      <c r="K6" s="94" t="s">
        <v>122</v>
      </c>
      <c r="L6" s="96"/>
      <c r="M6" s="94" t="s">
        <v>123</v>
      </c>
      <c r="N6" s="96"/>
      <c r="O6" s="94" t="s">
        <v>124</v>
      </c>
      <c r="P6" s="96"/>
      <c r="Q6" s="94" t="s">
        <v>125</v>
      </c>
      <c r="R6" s="96"/>
      <c r="S6" s="94" t="s">
        <v>126</v>
      </c>
      <c r="T6" s="96"/>
      <c r="U6" s="94" t="s">
        <v>127</v>
      </c>
      <c r="V6" s="96"/>
      <c r="W6" s="94" t="s">
        <v>128</v>
      </c>
      <c r="X6" s="96"/>
      <c r="Y6" s="94" t="s">
        <v>129</v>
      </c>
      <c r="Z6" s="96"/>
      <c r="AA6" s="94" t="s">
        <v>130</v>
      </c>
      <c r="AB6" s="96"/>
      <c r="AC6" s="94" t="s">
        <v>125</v>
      </c>
      <c r="AD6" s="96"/>
      <c r="AE6" s="94" t="s">
        <v>126</v>
      </c>
      <c r="AF6" s="96"/>
      <c r="AG6" s="94" t="s">
        <v>127</v>
      </c>
      <c r="AH6" s="96"/>
      <c r="AI6" s="94" t="s">
        <v>128</v>
      </c>
      <c r="AJ6" s="96"/>
      <c r="AK6" s="94" t="s">
        <v>129</v>
      </c>
      <c r="AL6" s="96"/>
      <c r="AM6" s="94" t="s">
        <v>130</v>
      </c>
      <c r="AN6" s="96"/>
    </row>
    <row r="7" spans="1:40" ht="20.100000000000001" customHeight="1">
      <c r="A7" s="102"/>
      <c r="B7" s="16" t="s">
        <v>4</v>
      </c>
      <c r="C7" s="16" t="s">
        <v>101</v>
      </c>
      <c r="D7" s="16" t="s">
        <v>7</v>
      </c>
      <c r="E7" s="17" t="s">
        <v>97</v>
      </c>
      <c r="F7" s="17" t="s">
        <v>102</v>
      </c>
      <c r="G7" s="17" t="s">
        <v>97</v>
      </c>
      <c r="H7" s="17" t="s">
        <v>102</v>
      </c>
      <c r="I7" s="17" t="s">
        <v>97</v>
      </c>
      <c r="J7" s="17" t="s">
        <v>102</v>
      </c>
      <c r="K7" s="17" t="s">
        <v>97</v>
      </c>
      <c r="L7" s="17" t="s">
        <v>102</v>
      </c>
      <c r="M7" s="17" t="s">
        <v>97</v>
      </c>
      <c r="N7" s="17" t="s">
        <v>102</v>
      </c>
      <c r="O7" s="17" t="s">
        <v>97</v>
      </c>
      <c r="P7" s="17" t="s">
        <v>102</v>
      </c>
      <c r="Q7" s="17" t="s">
        <v>97</v>
      </c>
      <c r="R7" s="17" t="s">
        <v>102</v>
      </c>
      <c r="S7" s="17" t="s">
        <v>97</v>
      </c>
      <c r="T7" s="17" t="s">
        <v>102</v>
      </c>
      <c r="U7" s="17" t="s">
        <v>97</v>
      </c>
      <c r="V7" s="17" t="s">
        <v>102</v>
      </c>
      <c r="W7" s="17" t="s">
        <v>97</v>
      </c>
      <c r="X7" s="17" t="s">
        <v>102</v>
      </c>
      <c r="Y7" s="17" t="s">
        <v>97</v>
      </c>
      <c r="Z7" s="17" t="s">
        <v>102</v>
      </c>
      <c r="AA7" s="17" t="s">
        <v>97</v>
      </c>
      <c r="AB7" s="17" t="s">
        <v>102</v>
      </c>
      <c r="AC7" s="17" t="s">
        <v>97</v>
      </c>
      <c r="AD7" s="17" t="s">
        <v>102</v>
      </c>
      <c r="AE7" s="17" t="s">
        <v>97</v>
      </c>
      <c r="AF7" s="17" t="s">
        <v>102</v>
      </c>
      <c r="AG7" s="17" t="s">
        <v>97</v>
      </c>
      <c r="AH7" s="17" t="s">
        <v>102</v>
      </c>
      <c r="AI7" s="17" t="s">
        <v>97</v>
      </c>
      <c r="AJ7" s="17" t="s">
        <v>102</v>
      </c>
      <c r="AK7" s="17" t="s">
        <v>97</v>
      </c>
      <c r="AL7" s="17" t="s">
        <v>102</v>
      </c>
      <c r="AM7" s="17" t="s">
        <v>97</v>
      </c>
      <c r="AN7" s="17" t="s">
        <v>102</v>
      </c>
    </row>
    <row r="8" spans="1:40" ht="20.100000000000001" customHeight="1">
      <c r="A8" s="41">
        <v>1</v>
      </c>
      <c r="B8" s="34" t="s">
        <v>138</v>
      </c>
      <c r="C8" s="62" t="str">
        <f>'CUSTOMER DETAILS'!H9</f>
        <v>AMRAN HOSSAIN</v>
      </c>
      <c r="D8" s="63" t="str">
        <f>'CUSTOMER DETAILS'!J9</f>
        <v>(+880)1792735556</v>
      </c>
      <c r="E8" s="64">
        <f>'R, C &amp; BILL'!I10</f>
        <v>0</v>
      </c>
      <c r="F8" s="23"/>
      <c r="G8" s="64">
        <f>'R, C &amp; BILL'!N10</f>
        <v>1311.4145099999998</v>
      </c>
      <c r="H8" s="23"/>
      <c r="I8" s="18">
        <f>'R, C &amp; BILL'!S10</f>
        <v>590.30838200000005</v>
      </c>
      <c r="J8" s="19"/>
      <c r="K8" s="18">
        <f>'R, C &amp; BILL'!X10</f>
        <v>0</v>
      </c>
      <c r="L8" s="19"/>
      <c r="M8" s="18">
        <f>'R, C &amp; BILL'!AC10</f>
        <v>0</v>
      </c>
      <c r="N8" s="19"/>
      <c r="O8" s="18">
        <f>'R, C &amp; BILL'!AM10</f>
        <v>0</v>
      </c>
      <c r="P8" s="19"/>
      <c r="Q8" s="19"/>
      <c r="R8" s="19"/>
      <c r="S8" s="25"/>
      <c r="T8" s="19"/>
      <c r="U8" s="25"/>
      <c r="V8" s="19"/>
      <c r="W8" s="25"/>
      <c r="X8" s="19"/>
      <c r="Y8" s="25"/>
      <c r="Z8" s="19"/>
      <c r="AA8" s="26">
        <f>'R, C &amp; BILL'!BL10</f>
        <v>0</v>
      </c>
      <c r="AB8" s="19"/>
      <c r="AC8" s="18">
        <f>'R, C &amp; BILL'!AR10</f>
        <v>0</v>
      </c>
      <c r="AD8" s="19"/>
      <c r="AE8" s="18">
        <f>'R, C &amp; BILL'!AR10</f>
        <v>0</v>
      </c>
      <c r="AF8" s="40"/>
      <c r="AG8" s="18">
        <f>'R, C &amp; BILL'!AW10</f>
        <v>0</v>
      </c>
      <c r="AH8" s="40"/>
      <c r="AI8" s="18">
        <f>'R, C &amp; BILL'!BB10</f>
        <v>0</v>
      </c>
      <c r="AJ8" s="40"/>
      <c r="AK8" s="18" t="str">
        <f>'R, C &amp; BILL'!AU10</f>
        <v>0.00</v>
      </c>
      <c r="AL8" s="40"/>
      <c r="AM8" s="18">
        <f>'R, C &amp; BILL'!BL10</f>
        <v>0</v>
      </c>
      <c r="AN8" s="40"/>
    </row>
    <row r="9" spans="1:40" ht="18" customHeight="1">
      <c r="A9" s="61">
        <v>2</v>
      </c>
      <c r="B9" s="60" t="s">
        <v>140</v>
      </c>
      <c r="C9" s="51"/>
      <c r="D9" s="10"/>
      <c r="E9" s="64">
        <f>'R, C &amp; BILL'!I11</f>
        <v>2786.3244799999989</v>
      </c>
      <c r="F9" s="78" t="s">
        <v>174</v>
      </c>
      <c r="G9" s="64">
        <f>'R, C &amp; BILL'!N11</f>
        <v>2979.2784000000042</v>
      </c>
      <c r="H9" s="23"/>
      <c r="I9" s="18">
        <f>'R, C &amp; BILL'!S11</f>
        <v>2129.8431599999985</v>
      </c>
      <c r="J9" s="23"/>
      <c r="K9" s="18">
        <f>'R, C &amp; BILL'!X11</f>
        <v>4393.2518320000008</v>
      </c>
      <c r="L9" s="23"/>
      <c r="M9" s="18">
        <f>'R, C &amp; BILL'!AC11</f>
        <v>0</v>
      </c>
      <c r="N9" s="23"/>
      <c r="O9" s="18">
        <f>'R, C &amp; BILL'!AM11</f>
        <v>0</v>
      </c>
      <c r="P9" s="23"/>
      <c r="Q9" s="18">
        <f>'R, C &amp; BILL'!AM11</f>
        <v>0</v>
      </c>
      <c r="R9" s="23"/>
      <c r="S9" s="18">
        <f>'R, C &amp; BILL'!AR11</f>
        <v>0</v>
      </c>
      <c r="T9" s="23"/>
      <c r="U9" s="18">
        <f>'R, C &amp; BILL'!AW11</f>
        <v>0</v>
      </c>
      <c r="V9" s="23"/>
      <c r="W9" s="18">
        <f>'R, C &amp; BILL'!BB11</f>
        <v>0</v>
      </c>
      <c r="X9" s="23"/>
      <c r="Y9" s="18">
        <f>'R, C &amp; BILL'!BG11</f>
        <v>5299.5759999999991</v>
      </c>
      <c r="Z9" s="23"/>
      <c r="AA9" s="18">
        <f>'R, C &amp; BILL'!BL11</f>
        <v>0</v>
      </c>
      <c r="AB9" s="23"/>
      <c r="AC9" s="18">
        <f>'R, C &amp; BILL'!AR11</f>
        <v>0</v>
      </c>
      <c r="AD9" s="23"/>
      <c r="AE9" s="18">
        <f>'R, C &amp; BILL'!AR11</f>
        <v>0</v>
      </c>
      <c r="AF9" s="40"/>
      <c r="AG9" s="18">
        <f>'R, C &amp; BILL'!AW11</f>
        <v>0</v>
      </c>
      <c r="AH9" s="40"/>
      <c r="AI9" s="18">
        <f>'R, C &amp; BILL'!BB11</f>
        <v>0</v>
      </c>
      <c r="AJ9" s="40"/>
      <c r="AK9" s="18" t="str">
        <f>'R, C &amp; BILL'!AU11</f>
        <v>0.00</v>
      </c>
      <c r="AL9" s="40"/>
      <c r="AM9" s="18">
        <f>'R, C &amp; BILL'!BL11</f>
        <v>0</v>
      </c>
      <c r="AN9" s="40"/>
    </row>
    <row r="10" spans="1:40" ht="18" customHeight="1">
      <c r="A10" s="41">
        <v>3</v>
      </c>
      <c r="B10" s="34" t="s">
        <v>141</v>
      </c>
      <c r="C10" s="51"/>
      <c r="D10" s="10"/>
      <c r="E10" s="64">
        <f>'R, C &amp; BILL'!I12</f>
        <v>956.00636799999927</v>
      </c>
      <c r="F10" s="78" t="s">
        <v>174</v>
      </c>
      <c r="G10" s="64">
        <f>'R, C &amp; BILL'!N12</f>
        <v>783.9226290000006</v>
      </c>
      <c r="H10" s="23"/>
      <c r="I10" s="18">
        <f>'R, C &amp; BILL'!S12</f>
        <v>1361.2590172</v>
      </c>
      <c r="J10" s="23"/>
      <c r="K10" s="18">
        <f>'R, C &amp; BILL'!X12</f>
        <v>1042.7695939999999</v>
      </c>
      <c r="L10" s="23"/>
      <c r="M10" s="18">
        <f>'R, C &amp; BILL'!AC12</f>
        <v>0</v>
      </c>
      <c r="N10" s="23"/>
      <c r="O10" s="18">
        <f>'R, C &amp; BILL'!AM12</f>
        <v>0</v>
      </c>
      <c r="P10" s="23"/>
      <c r="Q10" s="18">
        <f>'R, C &amp; BILL'!AM12</f>
        <v>0</v>
      </c>
      <c r="R10" s="23"/>
      <c r="S10" s="18">
        <f>'R, C &amp; BILL'!AR12</f>
        <v>0</v>
      </c>
      <c r="T10" s="23"/>
      <c r="U10" s="18">
        <f>'R, C &amp; BILL'!AW12</f>
        <v>0</v>
      </c>
      <c r="V10" s="23"/>
      <c r="W10" s="18">
        <f>'R, C &amp; BILL'!BB12</f>
        <v>0</v>
      </c>
      <c r="X10" s="23"/>
      <c r="Y10" s="18">
        <f>'R, C &amp; BILL'!BG12</f>
        <v>1650.1231999999993</v>
      </c>
      <c r="Z10" s="23"/>
      <c r="AA10" s="18">
        <f>'R, C &amp; BILL'!BL12</f>
        <v>0</v>
      </c>
      <c r="AB10" s="23"/>
      <c r="AC10" s="18">
        <f>'R, C &amp; BILL'!AR12</f>
        <v>0</v>
      </c>
      <c r="AD10" s="23"/>
      <c r="AE10" s="18">
        <f>'R, C &amp; BILL'!AR12</f>
        <v>0</v>
      </c>
      <c r="AF10" s="23"/>
      <c r="AG10" s="18">
        <f>'R, C &amp; BILL'!AW12</f>
        <v>0</v>
      </c>
      <c r="AH10" s="23"/>
      <c r="AI10" s="18">
        <f>'R, C &amp; BILL'!BB12</f>
        <v>0</v>
      </c>
      <c r="AJ10" s="23"/>
      <c r="AK10" s="18" t="str">
        <f>'R, C &amp; BILL'!AU12</f>
        <v>0.00</v>
      </c>
      <c r="AL10" s="40"/>
      <c r="AM10" s="18">
        <f>'R, C &amp; BILL'!BL12</f>
        <v>0</v>
      </c>
      <c r="AN10" s="40"/>
    </row>
    <row r="11" spans="1:40" ht="18" customHeight="1">
      <c r="A11" s="8">
        <v>4</v>
      </c>
      <c r="B11" s="73" t="s">
        <v>145</v>
      </c>
      <c r="C11" s="51"/>
      <c r="D11" s="10"/>
      <c r="E11" s="64">
        <f>'R, C &amp; BILL'!I13</f>
        <v>0</v>
      </c>
      <c r="F11" s="23"/>
      <c r="G11" s="64">
        <f>'R, C &amp; BILL'!N13</f>
        <v>163.59430499999999</v>
      </c>
      <c r="H11" s="23"/>
      <c r="I11" s="18">
        <f>'R, C &amp; BILL'!S13</f>
        <v>497.48929120000003</v>
      </c>
      <c r="J11" s="23"/>
      <c r="K11" s="18">
        <f>'R, C &amp; BILL'!X13</f>
        <v>0</v>
      </c>
      <c r="L11" s="23"/>
      <c r="M11" s="18">
        <f>'R, C &amp; BILL'!AC13</f>
        <v>0</v>
      </c>
      <c r="N11" s="23"/>
      <c r="O11" s="18">
        <f>'R, C &amp; BILL'!AM13</f>
        <v>0</v>
      </c>
      <c r="P11" s="23"/>
      <c r="Q11" s="18">
        <f>'R, C &amp; BILL'!AM13</f>
        <v>0</v>
      </c>
      <c r="R11" s="23"/>
      <c r="S11" s="18">
        <f>'R, C &amp; BILL'!AR13</f>
        <v>0</v>
      </c>
      <c r="T11" s="23"/>
      <c r="U11" s="18">
        <f>'R, C &amp; BILL'!AW13</f>
        <v>0</v>
      </c>
      <c r="V11" s="23"/>
      <c r="W11" s="18">
        <f>'R, C &amp; BILL'!BB13</f>
        <v>0</v>
      </c>
      <c r="X11" s="23"/>
      <c r="Y11" s="18">
        <f>'R, C &amp; BILL'!BG13</f>
        <v>0</v>
      </c>
      <c r="Z11" s="23"/>
      <c r="AA11" s="18">
        <f>'R, C &amp; BILL'!BL13</f>
        <v>0</v>
      </c>
      <c r="AB11" s="23"/>
      <c r="AC11" s="18">
        <f>'R, C &amp; BILL'!AR13</f>
        <v>0</v>
      </c>
      <c r="AD11" s="23"/>
      <c r="AE11" s="18">
        <f>'R, C &amp; BILL'!AR13</f>
        <v>0</v>
      </c>
      <c r="AF11" s="23"/>
      <c r="AG11" s="18">
        <f>'R, C &amp; BILL'!AW13</f>
        <v>0</v>
      </c>
      <c r="AH11" s="23"/>
      <c r="AI11" s="18">
        <f>'R, C &amp; BILL'!BB13</f>
        <v>0</v>
      </c>
      <c r="AJ11" s="23"/>
      <c r="AK11" s="18" t="str">
        <f>'R, C &amp; BILL'!AU13</f>
        <v>0.00</v>
      </c>
      <c r="AL11" s="40"/>
      <c r="AM11" s="18">
        <f>'R, C &amp; BILL'!BL13</f>
        <v>0</v>
      </c>
      <c r="AN11" s="40"/>
    </row>
    <row r="12" spans="1:40" ht="18" customHeight="1">
      <c r="A12" s="41">
        <v>5</v>
      </c>
      <c r="B12" s="34" t="s">
        <v>146</v>
      </c>
      <c r="C12" s="51"/>
      <c r="D12" s="10"/>
      <c r="E12" s="64">
        <f>'R, C &amp; BILL'!I14</f>
        <v>0</v>
      </c>
      <c r="F12" s="23"/>
      <c r="G12" s="64">
        <f>'R, C &amp; BILL'!N14</f>
        <v>0</v>
      </c>
      <c r="H12" s="23"/>
      <c r="I12" s="18">
        <f>'R, C &amp; BILL'!S14</f>
        <v>0</v>
      </c>
      <c r="J12" s="23"/>
      <c r="K12" s="18">
        <f>'R, C &amp; BILL'!X14</f>
        <v>0</v>
      </c>
      <c r="L12" s="23"/>
      <c r="M12" s="18">
        <f>'R, C &amp; BILL'!AC14</f>
        <v>0</v>
      </c>
      <c r="N12" s="23"/>
      <c r="O12" s="18">
        <f>'R, C &amp; BILL'!AM14</f>
        <v>0</v>
      </c>
      <c r="P12" s="23"/>
      <c r="Q12" s="18">
        <f>'R, C &amp; BILL'!AM14</f>
        <v>0</v>
      </c>
      <c r="R12" s="23"/>
      <c r="S12" s="18">
        <f>'R, C &amp; BILL'!AR14</f>
        <v>0</v>
      </c>
      <c r="T12" s="23"/>
      <c r="U12" s="18">
        <f>'R, C &amp; BILL'!AW14</f>
        <v>0</v>
      </c>
      <c r="V12" s="23"/>
      <c r="W12" s="18">
        <f>'R, C &amp; BILL'!BB14</f>
        <v>0</v>
      </c>
      <c r="X12" s="23"/>
      <c r="Y12" s="18">
        <f>'R, C &amp; BILL'!BG14</f>
        <v>0</v>
      </c>
      <c r="Z12" s="23"/>
      <c r="AA12" s="18">
        <f>'R, C &amp; BILL'!BL14</f>
        <v>0</v>
      </c>
      <c r="AB12" s="23"/>
      <c r="AC12" s="18">
        <f>'R, C &amp; BILL'!AR14</f>
        <v>0</v>
      </c>
      <c r="AD12" s="23"/>
      <c r="AE12" s="18">
        <f>'R, C &amp; BILL'!AR14</f>
        <v>0</v>
      </c>
      <c r="AF12" s="23"/>
      <c r="AG12" s="18">
        <f>'R, C &amp; BILL'!AW14</f>
        <v>0</v>
      </c>
      <c r="AH12" s="23"/>
      <c r="AI12" s="18">
        <f>'R, C &amp; BILL'!BB14</f>
        <v>0</v>
      </c>
      <c r="AJ12" s="23"/>
      <c r="AK12" s="18" t="str">
        <f>'R, C &amp; BILL'!AU14</f>
        <v>0.00</v>
      </c>
      <c r="AL12" s="40"/>
      <c r="AM12" s="18">
        <f>'R, C &amp; BILL'!BL14</f>
        <v>0</v>
      </c>
      <c r="AN12" s="40"/>
    </row>
    <row r="13" spans="1:40" ht="18" customHeight="1">
      <c r="A13" s="61">
        <v>6</v>
      </c>
      <c r="B13" s="60" t="s">
        <v>147</v>
      </c>
      <c r="C13" s="51"/>
      <c r="D13" s="10"/>
      <c r="E13" s="64">
        <f>'R, C &amp; BILL'!I15</f>
        <v>955.23808000000008</v>
      </c>
      <c r="F13" s="78" t="s">
        <v>174</v>
      </c>
      <c r="G13" s="64">
        <f>'R, C &amp; BILL'!N15</f>
        <v>827.28176999999982</v>
      </c>
      <c r="H13" s="23"/>
      <c r="I13" s="18">
        <f>'R, C &amp; BILL'!S15</f>
        <v>675.23916479999946</v>
      </c>
      <c r="J13" s="20"/>
      <c r="K13" s="18">
        <f>'R, C &amp; BILL'!X15</f>
        <v>1010.8131380000013</v>
      </c>
      <c r="L13" s="20"/>
      <c r="M13" s="18">
        <f>'R, C &amp; BILL'!AC15</f>
        <v>0</v>
      </c>
      <c r="N13" s="23"/>
      <c r="O13" s="18">
        <f>'R, C &amp; BILL'!AM15</f>
        <v>0</v>
      </c>
      <c r="P13" s="23"/>
      <c r="Q13" s="18">
        <f>'R, C &amp; BILL'!AM15</f>
        <v>0</v>
      </c>
      <c r="R13" s="23"/>
      <c r="S13" s="18">
        <f>'R, C &amp; BILL'!AR15</f>
        <v>0</v>
      </c>
      <c r="T13" s="23"/>
      <c r="U13" s="18">
        <f>'R, C &amp; BILL'!AW15</f>
        <v>0</v>
      </c>
      <c r="V13" s="23"/>
      <c r="W13" s="18">
        <f>'R, C &amp; BILL'!BB15</f>
        <v>0</v>
      </c>
      <c r="X13" s="23"/>
      <c r="Y13" s="18">
        <f>'R, C &amp; BILL'!BG15</f>
        <v>1423.8767999999998</v>
      </c>
      <c r="Z13" s="23"/>
      <c r="AA13" s="18">
        <f>'R, C &amp; BILL'!BL15</f>
        <v>0</v>
      </c>
      <c r="AB13" s="23"/>
      <c r="AC13" s="18">
        <f>'R, C &amp; BILL'!AR15</f>
        <v>0</v>
      </c>
      <c r="AD13" s="23"/>
      <c r="AE13" s="18">
        <f>'R, C &amp; BILL'!AR15</f>
        <v>0</v>
      </c>
      <c r="AF13" s="23"/>
      <c r="AG13" s="18">
        <f>'R, C &amp; BILL'!AW15</f>
        <v>0</v>
      </c>
      <c r="AH13" s="23"/>
      <c r="AI13" s="18">
        <f>'R, C &amp; BILL'!BB15</f>
        <v>0</v>
      </c>
      <c r="AJ13" s="23"/>
      <c r="AK13" s="18" t="str">
        <f>'R, C &amp; BILL'!AU15</f>
        <v>0.00</v>
      </c>
      <c r="AL13" s="40"/>
      <c r="AM13" s="18">
        <f>'R, C &amp; BILL'!BL15</f>
        <v>0</v>
      </c>
      <c r="AN13" s="40"/>
    </row>
    <row r="14" spans="1:40" ht="18" customHeight="1">
      <c r="A14" s="41">
        <v>7</v>
      </c>
      <c r="B14" s="34" t="s">
        <v>148</v>
      </c>
      <c r="C14" s="51"/>
      <c r="D14" s="10"/>
      <c r="E14" s="64">
        <f>'R, C &amp; BILL'!I16</f>
        <v>0</v>
      </c>
      <c r="F14" s="23"/>
      <c r="G14" s="64">
        <f>'R, C &amp; BILL'!N16</f>
        <v>156.94412999999997</v>
      </c>
      <c r="H14" s="23"/>
      <c r="I14" s="18">
        <f>'R, C &amp; BILL'!S16</f>
        <v>1424.3654811999995</v>
      </c>
      <c r="J14" s="23"/>
      <c r="K14" s="18">
        <f>'R, C &amp; BILL'!X16</f>
        <v>431.79259000000189</v>
      </c>
      <c r="L14" s="23"/>
      <c r="M14" s="18">
        <f>'R, C &amp; BILL'!AC16</f>
        <v>0</v>
      </c>
      <c r="N14" s="23"/>
      <c r="O14" s="18">
        <f>'R, C &amp; BILL'!AM16</f>
        <v>0</v>
      </c>
      <c r="P14" s="23"/>
      <c r="Q14" s="18">
        <f>'R, C &amp; BILL'!AM16</f>
        <v>0</v>
      </c>
      <c r="R14" s="23"/>
      <c r="S14" s="18">
        <f>'R, C &amp; BILL'!AR16</f>
        <v>0</v>
      </c>
      <c r="T14" s="23"/>
      <c r="U14" s="18">
        <f>'R, C &amp; BILL'!AW16</f>
        <v>0</v>
      </c>
      <c r="V14" s="23"/>
      <c r="W14" s="18">
        <f>'R, C &amp; BILL'!BB16</f>
        <v>0</v>
      </c>
      <c r="X14" s="23"/>
      <c r="Y14" s="18">
        <f>'R, C &amp; BILL'!BG16</f>
        <v>1893.5839999999998</v>
      </c>
      <c r="Z14" s="23"/>
      <c r="AA14" s="18">
        <f>'R, C &amp; BILL'!BL16</f>
        <v>0</v>
      </c>
      <c r="AB14" s="23"/>
      <c r="AC14" s="18">
        <f>'R, C &amp; BILL'!AR16</f>
        <v>0</v>
      </c>
      <c r="AD14" s="23"/>
      <c r="AE14" s="18">
        <f>'R, C &amp; BILL'!AR16</f>
        <v>0</v>
      </c>
      <c r="AF14" s="23"/>
      <c r="AG14" s="18">
        <f>'R, C &amp; BILL'!AW16</f>
        <v>0</v>
      </c>
      <c r="AH14" s="23"/>
      <c r="AI14" s="18">
        <f>'R, C &amp; BILL'!BB16</f>
        <v>0</v>
      </c>
      <c r="AJ14" s="23"/>
      <c r="AK14" s="18" t="str">
        <f>'R, C &amp; BILL'!AU16</f>
        <v>0.00</v>
      </c>
      <c r="AL14" s="40"/>
      <c r="AM14" s="18">
        <f>'R, C &amp; BILL'!BL16</f>
        <v>0</v>
      </c>
      <c r="AN14" s="40"/>
    </row>
    <row r="15" spans="1:40" ht="18" customHeight="1">
      <c r="A15" s="8">
        <v>8</v>
      </c>
      <c r="B15" s="34" t="s">
        <v>151</v>
      </c>
      <c r="C15" s="51"/>
      <c r="D15" s="10"/>
      <c r="E15" s="64">
        <f>'R, C &amp; BILL'!I17</f>
        <v>217.68159999999989</v>
      </c>
      <c r="F15" s="78" t="s">
        <v>174</v>
      </c>
      <c r="G15" s="64">
        <f>'R, C &amp; BILL'!N17</f>
        <v>172.90455000000009</v>
      </c>
      <c r="H15" s="23"/>
      <c r="I15" s="18">
        <f>'R, C &amp; BILL'!S17</f>
        <v>12.884236399999866</v>
      </c>
      <c r="J15" s="23"/>
      <c r="K15" s="18">
        <f>'R, C &amp; BILL'!X17</f>
        <v>172.71703600000023</v>
      </c>
      <c r="L15" s="23"/>
      <c r="M15" s="18">
        <f>'R, C &amp; BILL'!AC17</f>
        <v>0</v>
      </c>
      <c r="N15" s="23"/>
      <c r="O15" s="18">
        <f>'R, C &amp; BILL'!AM17</f>
        <v>0</v>
      </c>
      <c r="P15" s="23"/>
      <c r="Q15" s="18"/>
      <c r="R15" s="23"/>
      <c r="S15" s="18"/>
      <c r="T15" s="23"/>
      <c r="U15" s="18"/>
      <c r="V15" s="23"/>
      <c r="W15" s="18"/>
      <c r="X15" s="23"/>
      <c r="Y15" s="18"/>
      <c r="Z15" s="23"/>
      <c r="AA15" s="18"/>
      <c r="AB15" s="23"/>
      <c r="AC15" s="18">
        <f>'R, C &amp; BILL'!AR17</f>
        <v>0</v>
      </c>
      <c r="AD15" s="23"/>
      <c r="AE15" s="18">
        <f>'R, C &amp; BILL'!AR17</f>
        <v>0</v>
      </c>
      <c r="AF15" s="23"/>
      <c r="AG15" s="18">
        <f>'R, C &amp; BILL'!AW17</f>
        <v>0</v>
      </c>
      <c r="AH15" s="23"/>
      <c r="AI15" s="18">
        <f>'R, C &amp; BILL'!BB17</f>
        <v>0</v>
      </c>
      <c r="AJ15" s="23"/>
      <c r="AK15" s="18" t="str">
        <f>'R, C &amp; BILL'!AU17</f>
        <v>0.00</v>
      </c>
      <c r="AL15" s="40"/>
      <c r="AM15" s="18">
        <f>'R, C &amp; BILL'!BL17</f>
        <v>0</v>
      </c>
      <c r="AN15" s="40"/>
    </row>
    <row r="16" spans="1:40" ht="18" customHeight="1">
      <c r="A16" s="41">
        <v>9</v>
      </c>
      <c r="B16" s="34" t="s">
        <v>155</v>
      </c>
      <c r="C16" s="51"/>
      <c r="D16" s="10"/>
      <c r="E16" s="64">
        <f>'R, C &amp; BILL'!I18</f>
        <v>1605.7219200000009</v>
      </c>
      <c r="F16" s="78" t="s">
        <v>174</v>
      </c>
      <c r="G16" s="64">
        <f>'R, C &amp; BILL'!N18</f>
        <v>1947.1712399999999</v>
      </c>
      <c r="H16" s="23"/>
      <c r="I16" s="18">
        <f>'R, C &amp; BILL'!S18</f>
        <v>1745.4196167999996</v>
      </c>
      <c r="J16" s="23"/>
      <c r="K16" s="18">
        <f>'R, C &amp; BILL'!X18</f>
        <v>2207.6585019999989</v>
      </c>
      <c r="L16" s="23"/>
      <c r="M16" s="18">
        <f>'R, C &amp; BILL'!AC18</f>
        <v>0</v>
      </c>
      <c r="N16" s="23"/>
      <c r="O16" s="18">
        <f>'R, C &amp; BILL'!AM18</f>
        <v>0</v>
      </c>
      <c r="P16" s="23"/>
      <c r="Q16" s="18"/>
      <c r="R16" s="23"/>
      <c r="S16" s="18"/>
      <c r="T16" s="23"/>
      <c r="U16" s="18"/>
      <c r="V16" s="23"/>
      <c r="W16" s="18"/>
      <c r="X16" s="23"/>
      <c r="Y16" s="18"/>
      <c r="Z16" s="23"/>
      <c r="AA16" s="18"/>
      <c r="AB16" s="23"/>
      <c r="AC16" s="18">
        <f>'R, C &amp; BILL'!AR18</f>
        <v>0</v>
      </c>
      <c r="AD16" s="23"/>
      <c r="AE16" s="18">
        <f>'R, C &amp; BILL'!AR18</f>
        <v>0</v>
      </c>
      <c r="AF16" s="23"/>
      <c r="AG16" s="18">
        <f>'R, C &amp; BILL'!AW18</f>
        <v>0</v>
      </c>
      <c r="AH16" s="23"/>
      <c r="AI16" s="18">
        <f>'R, C &amp; BILL'!BB18</f>
        <v>0</v>
      </c>
      <c r="AJ16" s="23"/>
      <c r="AK16" s="18" t="str">
        <f>'R, C &amp; BILL'!AU18</f>
        <v>0.00</v>
      </c>
      <c r="AL16" s="40"/>
      <c r="AM16" s="18">
        <f>'R, C &amp; BILL'!BL18</f>
        <v>0</v>
      </c>
      <c r="AN16" s="40"/>
    </row>
    <row r="17" spans="1:40" ht="33.75" customHeight="1">
      <c r="A17" s="99" t="s">
        <v>98</v>
      </c>
      <c r="B17" s="100"/>
      <c r="C17" s="100"/>
      <c r="D17" s="101"/>
      <c r="E17" s="43">
        <f>SUM(E9:E16)</f>
        <v>6520.9724479999995</v>
      </c>
      <c r="F17" s="22"/>
      <c r="G17" s="52">
        <f>SUM(G9:G16)</f>
        <v>7031.0970240000042</v>
      </c>
      <c r="H17" s="22"/>
      <c r="I17" s="21">
        <f>SUM(I8:I16)</f>
        <v>8436.8083495999981</v>
      </c>
      <c r="J17" s="22"/>
      <c r="K17" s="21">
        <f>SUM(K8:K16)</f>
        <v>9259.0026920000037</v>
      </c>
      <c r="L17" s="22"/>
      <c r="M17" s="21">
        <f>SUM(M9:M16)</f>
        <v>0</v>
      </c>
      <c r="N17" s="24"/>
      <c r="O17" s="21">
        <f>SUM(O9:O16)</f>
        <v>0</v>
      </c>
      <c r="P17" s="24"/>
      <c r="Q17" s="21">
        <f>SUM(Q9:Q16)</f>
        <v>0</v>
      </c>
      <c r="R17" s="24"/>
      <c r="S17" s="21">
        <f>SUM(S9:S16)</f>
        <v>0</v>
      </c>
      <c r="T17" s="24"/>
      <c r="U17" s="21">
        <f>SUM(U9:U16)</f>
        <v>0</v>
      </c>
      <c r="V17" s="24"/>
      <c r="W17" s="21">
        <f>SUM(W8:W16)</f>
        <v>0</v>
      </c>
      <c r="X17" s="24"/>
      <c r="Y17" s="21">
        <f>SUM(Y8:Y16)</f>
        <v>10267.159999999996</v>
      </c>
      <c r="Z17" s="24"/>
      <c r="AA17" s="21">
        <f>SUM(AA9:AA16)</f>
        <v>0</v>
      </c>
      <c r="AB17" s="22"/>
      <c r="AC17" s="43">
        <f>SUM(AC8:AC16)</f>
        <v>0</v>
      </c>
      <c r="AD17" s="40"/>
      <c r="AE17" s="21">
        <f>SUM(AE8:AE16)</f>
        <v>0</v>
      </c>
      <c r="AF17" s="40"/>
      <c r="AG17" s="21">
        <f>SUM(AG8:AG16)</f>
        <v>0</v>
      </c>
      <c r="AH17" s="35"/>
      <c r="AI17" s="43">
        <f>SUM(AI8:AI16)</f>
        <v>0</v>
      </c>
      <c r="AJ17" s="35"/>
      <c r="AK17" s="21">
        <f>SUM(AK8:AK16)</f>
        <v>0</v>
      </c>
      <c r="AL17" s="35"/>
      <c r="AM17" s="43">
        <f>SUM(AM8:AM16)</f>
        <v>0</v>
      </c>
      <c r="AN17" s="40"/>
    </row>
    <row r="21" spans="1:40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</row>
  </sheetData>
  <mergeCells count="23">
    <mergeCell ref="AI6:AJ6"/>
    <mergeCell ref="AK6:AL6"/>
    <mergeCell ref="AM6:AN6"/>
    <mergeCell ref="A1:AN2"/>
    <mergeCell ref="A3:AN4"/>
    <mergeCell ref="AC6:AD6"/>
    <mergeCell ref="AE6:AF6"/>
    <mergeCell ref="AG6:AH6"/>
    <mergeCell ref="W6:X6"/>
    <mergeCell ref="Y6:Z6"/>
    <mergeCell ref="AA6:AB6"/>
    <mergeCell ref="S6:T6"/>
    <mergeCell ref="U6:V6"/>
    <mergeCell ref="A17:D17"/>
    <mergeCell ref="A6:A7"/>
    <mergeCell ref="M6:N6"/>
    <mergeCell ref="O6:P6"/>
    <mergeCell ref="Q6:R6"/>
    <mergeCell ref="B6:D6"/>
    <mergeCell ref="E6:F6"/>
    <mergeCell ref="G6:H6"/>
    <mergeCell ref="I6:J6"/>
    <mergeCell ref="K6:L6"/>
  </mergeCells>
  <pageMargins left="0.25" right="0.25" top="0.75" bottom="0.75" header="0.29861111111111099" footer="0.29861111111111099"/>
  <pageSetup paperSize="9" scale="4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56"/>
  <sheetViews>
    <sheetView zoomScale="70" zoomScaleNormal="70" workbookViewId="0">
      <pane xSplit="2" ySplit="4" topLeftCell="C5" activePane="bottomRight" state="frozen"/>
      <selection pane="topRight"/>
      <selection pane="bottomLeft"/>
      <selection pane="bottomRight" activeCell="A5" sqref="A5"/>
    </sheetView>
  </sheetViews>
  <sheetFormatPr defaultColWidth="9.140625" defaultRowHeight="15"/>
  <cols>
    <col min="1" max="1" width="5.7109375" customWidth="1"/>
    <col min="2" max="2" width="12.7109375" customWidth="1"/>
    <col min="3" max="3" width="22.7109375" customWidth="1"/>
    <col min="4" max="4" width="24.7109375" style="1" customWidth="1"/>
    <col min="5" max="5" width="18.7109375" customWidth="1"/>
    <col min="6" max="6" width="24.7109375" customWidth="1"/>
    <col min="7" max="7" width="30.7109375" customWidth="1"/>
    <col min="8" max="8" width="22.7109375" customWidth="1"/>
    <col min="9" max="9" width="24.7109375" customWidth="1"/>
    <col min="10" max="10" width="20.7109375" customWidth="1"/>
    <col min="11" max="11" width="24.7109375" customWidth="1"/>
    <col min="12" max="12" width="38.5703125" customWidth="1"/>
    <col min="13" max="13" width="15.7109375" customWidth="1"/>
  </cols>
  <sheetData>
    <row r="1" spans="1:13" ht="18.75" customHeight="1">
      <c r="A1" s="116" t="s">
        <v>168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</row>
    <row r="2" spans="1:13" ht="15" customHeight="1">
      <c r="A2" s="116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</row>
    <row r="3" spans="1:13" ht="15" customHeight="1">
      <c r="A3" s="117" t="s">
        <v>169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</row>
    <row r="4" spans="1:13" ht="15" customHeight="1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</row>
    <row r="5" spans="1:13">
      <c r="A5" s="2"/>
      <c r="B5" s="2"/>
      <c r="C5" s="2"/>
      <c r="D5" s="3"/>
      <c r="E5" s="2"/>
      <c r="F5" s="2"/>
      <c r="G5" s="2"/>
      <c r="H5" s="2"/>
      <c r="I5" s="2"/>
      <c r="J5" s="2"/>
      <c r="K5" s="2"/>
      <c r="L5" s="2"/>
      <c r="M5" s="2"/>
    </row>
    <row r="6" spans="1:13" ht="20.100000000000001" customHeight="1">
      <c r="A6" s="123" t="s">
        <v>93</v>
      </c>
      <c r="B6" s="123" t="s">
        <v>4</v>
      </c>
      <c r="C6" s="125" t="s">
        <v>103</v>
      </c>
      <c r="D6" s="126"/>
      <c r="E6" s="126"/>
      <c r="F6" s="126"/>
      <c r="G6" s="127"/>
      <c r="H6" s="128" t="s">
        <v>104</v>
      </c>
      <c r="I6" s="129"/>
      <c r="J6" s="129"/>
      <c r="K6" s="129"/>
      <c r="L6" s="130"/>
      <c r="M6" s="124" t="s">
        <v>8</v>
      </c>
    </row>
    <row r="7" spans="1:13" ht="20.100000000000001" customHeight="1">
      <c r="A7" s="123"/>
      <c r="B7" s="123"/>
      <c r="C7" s="131" t="s">
        <v>105</v>
      </c>
      <c r="D7" s="131"/>
      <c r="E7" s="132" t="s">
        <v>7</v>
      </c>
      <c r="F7" s="133"/>
      <c r="G7" s="134"/>
      <c r="H7" s="135" t="s">
        <v>105</v>
      </c>
      <c r="I7" s="135"/>
      <c r="J7" s="119" t="s">
        <v>7</v>
      </c>
      <c r="K7" s="120"/>
      <c r="L7" s="121"/>
      <c r="M7" s="124"/>
    </row>
    <row r="8" spans="1:13" ht="20.100000000000001" customHeight="1">
      <c r="A8" s="123"/>
      <c r="B8" s="123"/>
      <c r="C8" s="4" t="s">
        <v>101</v>
      </c>
      <c r="D8" s="6" t="s">
        <v>106</v>
      </c>
      <c r="E8" s="4" t="s">
        <v>107</v>
      </c>
      <c r="F8" s="4" t="s">
        <v>108</v>
      </c>
      <c r="G8" s="4" t="s">
        <v>109</v>
      </c>
      <c r="H8" s="5" t="s">
        <v>101</v>
      </c>
      <c r="I8" s="5" t="s">
        <v>106</v>
      </c>
      <c r="J8" s="5" t="s">
        <v>107</v>
      </c>
      <c r="K8" s="5" t="s">
        <v>108</v>
      </c>
      <c r="L8" s="5" t="s">
        <v>109</v>
      </c>
      <c r="M8" s="124"/>
    </row>
    <row r="9" spans="1:13" ht="36" customHeight="1">
      <c r="A9" s="7">
        <v>1</v>
      </c>
      <c r="B9" s="8" t="s">
        <v>136</v>
      </c>
      <c r="C9" s="66" t="s">
        <v>110</v>
      </c>
      <c r="D9" s="67" t="s">
        <v>111</v>
      </c>
      <c r="E9" s="68" t="s">
        <v>135</v>
      </c>
      <c r="F9" s="69" t="s">
        <v>112</v>
      </c>
      <c r="G9" s="70" t="s">
        <v>113</v>
      </c>
      <c r="H9" s="66" t="s">
        <v>115</v>
      </c>
      <c r="I9" s="63">
        <v>3755459644</v>
      </c>
      <c r="J9" s="63" t="s">
        <v>116</v>
      </c>
      <c r="K9" s="71" t="s">
        <v>117</v>
      </c>
      <c r="L9" s="72" t="s">
        <v>118</v>
      </c>
      <c r="M9" s="59" t="s">
        <v>114</v>
      </c>
    </row>
    <row r="10" spans="1:13" ht="36" customHeight="1">
      <c r="A10" s="8">
        <v>2</v>
      </c>
      <c r="B10" s="8" t="s">
        <v>137</v>
      </c>
      <c r="C10" s="9"/>
      <c r="D10" s="53"/>
      <c r="E10" s="11"/>
      <c r="F10" s="54"/>
      <c r="G10" s="11"/>
      <c r="H10" s="9"/>
      <c r="I10" s="10"/>
      <c r="J10" s="10"/>
      <c r="K10" s="12"/>
      <c r="L10" s="13"/>
      <c r="M10" s="9"/>
    </row>
    <row r="11" spans="1:13" ht="36" customHeight="1">
      <c r="A11" s="7">
        <v>3</v>
      </c>
      <c r="B11" s="8" t="s">
        <v>138</v>
      </c>
      <c r="C11" s="9"/>
      <c r="D11" s="53"/>
      <c r="E11" s="11"/>
      <c r="F11" s="54"/>
      <c r="G11" s="11"/>
      <c r="H11" s="9"/>
      <c r="I11" s="10"/>
      <c r="J11" s="10"/>
      <c r="K11" s="12"/>
      <c r="L11" s="42"/>
      <c r="M11" s="13"/>
    </row>
    <row r="12" spans="1:13" ht="36" customHeight="1">
      <c r="A12" s="8">
        <v>4</v>
      </c>
      <c r="B12" s="8" t="s">
        <v>139</v>
      </c>
      <c r="C12" s="9"/>
      <c r="D12" s="53"/>
      <c r="E12" s="11"/>
      <c r="F12" s="54"/>
      <c r="G12" s="11"/>
      <c r="H12" s="9"/>
      <c r="I12" s="10"/>
      <c r="J12" s="10"/>
      <c r="K12" s="12"/>
      <c r="L12" s="42"/>
      <c r="M12" s="13"/>
    </row>
    <row r="13" spans="1:13" ht="36" customHeight="1">
      <c r="A13" s="7">
        <v>5</v>
      </c>
      <c r="B13" s="8" t="s">
        <v>140</v>
      </c>
      <c r="C13" s="9"/>
      <c r="D13" s="53"/>
      <c r="E13" s="11"/>
      <c r="F13" s="54"/>
      <c r="G13" s="11"/>
      <c r="H13" s="9"/>
      <c r="I13" s="10"/>
      <c r="J13" s="10"/>
      <c r="K13" s="12"/>
      <c r="L13" s="55"/>
      <c r="M13" s="9"/>
    </row>
    <row r="14" spans="1:13" ht="36" customHeight="1">
      <c r="A14" s="8">
        <v>6</v>
      </c>
      <c r="B14" s="8" t="s">
        <v>141</v>
      </c>
      <c r="C14" s="9"/>
      <c r="D14" s="53"/>
      <c r="E14" s="11"/>
      <c r="F14" s="54"/>
      <c r="G14" s="11"/>
      <c r="H14" s="9"/>
      <c r="I14" s="10"/>
      <c r="J14" s="10"/>
      <c r="K14" s="12"/>
      <c r="L14" s="55"/>
      <c r="M14" s="9"/>
    </row>
    <row r="15" spans="1:13" ht="36" customHeight="1">
      <c r="A15" s="7">
        <v>7</v>
      </c>
      <c r="B15" s="8" t="s">
        <v>142</v>
      </c>
      <c r="C15" s="9"/>
      <c r="D15" s="53"/>
      <c r="E15" s="11"/>
      <c r="F15" s="54"/>
      <c r="G15" s="11"/>
      <c r="H15" s="9"/>
      <c r="I15" s="10"/>
      <c r="J15" s="10"/>
      <c r="K15" s="12"/>
      <c r="L15" s="55"/>
      <c r="M15" s="9"/>
    </row>
    <row r="16" spans="1:13" ht="36" customHeight="1">
      <c r="A16" s="8">
        <v>8</v>
      </c>
      <c r="B16" s="8" t="s">
        <v>143</v>
      </c>
      <c r="C16" s="9"/>
      <c r="D16" s="53"/>
      <c r="E16" s="11"/>
      <c r="F16" s="54"/>
      <c r="G16" s="11"/>
      <c r="H16" s="9"/>
      <c r="I16" s="10"/>
      <c r="J16" s="10"/>
      <c r="K16" s="12"/>
      <c r="L16" s="55"/>
      <c r="M16" s="9"/>
    </row>
    <row r="17" spans="1:13" ht="36" customHeight="1">
      <c r="A17" s="7">
        <v>9</v>
      </c>
      <c r="B17" s="8" t="s">
        <v>144</v>
      </c>
      <c r="C17" s="9"/>
      <c r="D17" s="53"/>
      <c r="E17" s="11"/>
      <c r="F17" s="54"/>
      <c r="G17" s="11"/>
      <c r="H17" s="9"/>
      <c r="I17" s="10"/>
      <c r="J17" s="10"/>
      <c r="K17" s="12"/>
      <c r="L17" s="55"/>
      <c r="M17" s="9"/>
    </row>
    <row r="18" spans="1:13" ht="36" customHeight="1">
      <c r="A18" s="8">
        <v>10</v>
      </c>
      <c r="B18" s="8" t="s">
        <v>145</v>
      </c>
      <c r="C18" s="9"/>
      <c r="D18" s="53"/>
      <c r="E18" s="11"/>
      <c r="F18" s="54"/>
      <c r="G18" s="11"/>
      <c r="H18" s="9"/>
      <c r="I18" s="10"/>
      <c r="J18" s="10"/>
      <c r="K18" s="12"/>
      <c r="L18" s="55"/>
      <c r="M18" s="9"/>
    </row>
    <row r="19" spans="1:13" ht="36" customHeight="1">
      <c r="A19" s="7">
        <v>11</v>
      </c>
      <c r="B19" s="8" t="s">
        <v>146</v>
      </c>
      <c r="C19" s="9"/>
      <c r="D19" s="53"/>
      <c r="E19" s="11"/>
      <c r="F19" s="54"/>
      <c r="G19" s="11"/>
      <c r="H19" s="9"/>
      <c r="I19" s="10"/>
      <c r="J19" s="10"/>
      <c r="K19" s="12"/>
      <c r="L19" s="55"/>
      <c r="M19" s="9"/>
    </row>
    <row r="20" spans="1:13" ht="36" customHeight="1">
      <c r="A20" s="8">
        <v>12</v>
      </c>
      <c r="B20" s="8" t="s">
        <v>147</v>
      </c>
      <c r="C20" s="9"/>
      <c r="D20" s="53"/>
      <c r="E20" s="11"/>
      <c r="F20" s="54"/>
      <c r="G20" s="11"/>
      <c r="H20" s="9"/>
      <c r="I20" s="10"/>
      <c r="J20" s="10"/>
      <c r="K20" s="12"/>
      <c r="L20" s="55"/>
      <c r="M20" s="9"/>
    </row>
    <row r="21" spans="1:13" ht="36" customHeight="1">
      <c r="A21" s="7">
        <v>13</v>
      </c>
      <c r="B21" s="8" t="s">
        <v>148</v>
      </c>
      <c r="C21" s="9"/>
      <c r="D21" s="53"/>
      <c r="E21" s="11"/>
      <c r="F21" s="54"/>
      <c r="G21" s="11"/>
      <c r="H21" s="9"/>
      <c r="I21" s="10"/>
      <c r="J21" s="10"/>
      <c r="K21" s="12"/>
      <c r="L21" s="55"/>
      <c r="M21" s="9"/>
    </row>
    <row r="22" spans="1:13" ht="36" customHeight="1">
      <c r="A22" s="8">
        <v>14</v>
      </c>
      <c r="B22" s="8" t="s">
        <v>149</v>
      </c>
      <c r="C22" s="9"/>
      <c r="D22" s="53"/>
      <c r="E22" s="11"/>
      <c r="F22" s="54"/>
      <c r="G22" s="11"/>
      <c r="H22" s="9"/>
      <c r="I22" s="10"/>
      <c r="J22" s="10"/>
      <c r="K22" s="12"/>
      <c r="L22" s="55"/>
      <c r="M22" s="9"/>
    </row>
    <row r="23" spans="1:13" ht="36" customHeight="1">
      <c r="A23" s="7">
        <v>15</v>
      </c>
      <c r="B23" s="8" t="s">
        <v>150</v>
      </c>
      <c r="C23" s="9"/>
      <c r="D23" s="53"/>
      <c r="E23" s="11"/>
      <c r="F23" s="54"/>
      <c r="G23" s="11"/>
      <c r="H23" s="9"/>
      <c r="I23" s="10"/>
      <c r="J23" s="10"/>
      <c r="K23" s="12"/>
      <c r="L23" s="55"/>
      <c r="M23" s="9"/>
    </row>
    <row r="24" spans="1:13" ht="36" customHeight="1">
      <c r="A24" s="8">
        <v>16</v>
      </c>
      <c r="B24" s="8" t="s">
        <v>151</v>
      </c>
      <c r="C24" s="9"/>
      <c r="D24" s="53"/>
      <c r="E24" s="11"/>
      <c r="F24" s="54"/>
      <c r="G24" s="11"/>
      <c r="H24" s="9"/>
      <c r="I24" s="10"/>
      <c r="J24" s="10"/>
      <c r="K24" s="12"/>
      <c r="L24" s="55"/>
      <c r="M24" s="9"/>
    </row>
    <row r="25" spans="1:13" ht="36" customHeight="1">
      <c r="A25" s="7">
        <v>17</v>
      </c>
      <c r="B25" s="8" t="s">
        <v>152</v>
      </c>
      <c r="C25" s="9"/>
      <c r="D25" s="53"/>
      <c r="E25" s="11"/>
      <c r="F25" s="54"/>
      <c r="G25" s="11"/>
      <c r="H25" s="9"/>
      <c r="I25" s="10"/>
      <c r="J25" s="10"/>
      <c r="K25" s="9"/>
      <c r="L25" s="55"/>
      <c r="M25" s="9"/>
    </row>
    <row r="26" spans="1:13" ht="36" customHeight="1">
      <c r="A26" s="8">
        <v>18</v>
      </c>
      <c r="B26" s="8" t="s">
        <v>153</v>
      </c>
      <c r="C26" s="9"/>
      <c r="D26" s="53"/>
      <c r="E26" s="11"/>
      <c r="F26" s="54"/>
      <c r="G26" s="11"/>
      <c r="H26" s="9"/>
      <c r="I26" s="10"/>
      <c r="J26" s="10"/>
      <c r="K26" s="12"/>
      <c r="L26" s="56"/>
      <c r="M26" s="13"/>
    </row>
    <row r="27" spans="1:13" ht="36" customHeight="1">
      <c r="A27" s="7">
        <v>19</v>
      </c>
      <c r="B27" s="8" t="s">
        <v>154</v>
      </c>
      <c r="C27" s="9"/>
      <c r="D27" s="53"/>
      <c r="E27" s="11"/>
      <c r="F27" s="54"/>
      <c r="G27" s="11"/>
      <c r="H27" s="57"/>
      <c r="I27" s="10"/>
      <c r="J27" s="10"/>
      <c r="K27" s="12"/>
      <c r="L27" s="56"/>
      <c r="M27" s="13"/>
    </row>
    <row r="28" spans="1:13" ht="36" customHeight="1">
      <c r="A28" s="8">
        <v>20</v>
      </c>
      <c r="B28" s="8" t="s">
        <v>155</v>
      </c>
      <c r="C28" s="9"/>
      <c r="D28" s="53"/>
      <c r="E28" s="11"/>
      <c r="F28" s="54"/>
      <c r="G28" s="11"/>
      <c r="H28" s="9"/>
      <c r="I28" s="10"/>
      <c r="J28" s="10"/>
      <c r="K28" s="12"/>
      <c r="L28" s="11"/>
      <c r="M28" s="13"/>
    </row>
    <row r="29" spans="1:13" ht="36" customHeight="1">
      <c r="A29" s="7">
        <v>21</v>
      </c>
      <c r="B29" s="8" t="s">
        <v>156</v>
      </c>
      <c r="C29" s="9"/>
      <c r="D29" s="53"/>
      <c r="E29" s="11"/>
      <c r="F29" s="54"/>
      <c r="G29" s="11"/>
      <c r="H29" s="9"/>
      <c r="I29" s="10"/>
      <c r="J29" s="10"/>
      <c r="K29" s="12"/>
      <c r="L29" s="55"/>
      <c r="M29" s="9"/>
    </row>
    <row r="30" spans="1:13" ht="36" customHeight="1">
      <c r="A30" s="8">
        <v>22</v>
      </c>
      <c r="B30" s="8" t="s">
        <v>157</v>
      </c>
      <c r="C30" s="9"/>
      <c r="D30" s="53"/>
      <c r="E30" s="11"/>
      <c r="F30" s="54"/>
      <c r="G30" s="11"/>
      <c r="H30" s="9"/>
      <c r="I30" s="10"/>
      <c r="J30" s="10"/>
      <c r="K30" s="12"/>
      <c r="L30" s="55"/>
      <c r="M30" s="9"/>
    </row>
    <row r="31" spans="1:13" ht="36" customHeight="1">
      <c r="A31" s="7">
        <v>23</v>
      </c>
      <c r="B31" s="8" t="s">
        <v>158</v>
      </c>
      <c r="C31" s="9"/>
      <c r="D31" s="53"/>
      <c r="E31" s="11"/>
      <c r="F31" s="54"/>
      <c r="G31" s="11"/>
      <c r="H31" s="9"/>
      <c r="I31" s="10"/>
      <c r="J31" s="10"/>
      <c r="K31" s="14"/>
      <c r="L31" s="55"/>
      <c r="M31" s="9"/>
    </row>
    <row r="32" spans="1:13" ht="36" customHeight="1">
      <c r="A32" s="8">
        <v>24</v>
      </c>
      <c r="B32" s="8" t="s">
        <v>159</v>
      </c>
      <c r="C32" s="9"/>
      <c r="D32" s="53"/>
      <c r="E32" s="11"/>
      <c r="F32" s="54"/>
      <c r="G32" s="11"/>
      <c r="H32" s="9"/>
      <c r="I32" s="10"/>
      <c r="J32" s="10"/>
      <c r="K32" s="9"/>
      <c r="L32" s="55"/>
      <c r="M32" s="9"/>
    </row>
    <row r="33" spans="1:13" ht="36" customHeight="1">
      <c r="A33" s="7">
        <v>25</v>
      </c>
      <c r="B33" s="8" t="s">
        <v>160</v>
      </c>
      <c r="C33" s="9"/>
      <c r="D33" s="53"/>
      <c r="E33" s="11"/>
      <c r="F33" s="54"/>
      <c r="G33" s="11"/>
      <c r="H33" s="9"/>
      <c r="I33" s="10"/>
      <c r="J33" s="10"/>
      <c r="K33" s="12"/>
      <c r="L33" s="11"/>
      <c r="M33" s="9"/>
    </row>
    <row r="34" spans="1:13" ht="36" customHeight="1">
      <c r="A34" s="8">
        <v>26</v>
      </c>
      <c r="B34" s="8" t="s">
        <v>161</v>
      </c>
      <c r="C34" s="9"/>
      <c r="D34" s="53"/>
      <c r="E34" s="11"/>
      <c r="F34" s="54"/>
      <c r="G34" s="11"/>
      <c r="H34" s="9"/>
      <c r="I34" s="58"/>
      <c r="J34" s="10"/>
      <c r="K34" s="12"/>
      <c r="L34" s="56"/>
      <c r="M34" s="15"/>
    </row>
    <row r="35" spans="1:13" ht="36" customHeight="1">
      <c r="A35" s="7">
        <v>27</v>
      </c>
      <c r="B35" s="8" t="s">
        <v>162</v>
      </c>
      <c r="C35" s="9"/>
      <c r="D35" s="53"/>
      <c r="E35" s="11"/>
      <c r="F35" s="54"/>
      <c r="G35" s="11"/>
      <c r="H35" s="9"/>
      <c r="I35" s="10"/>
      <c r="J35" s="10"/>
      <c r="K35" s="12"/>
      <c r="L35" s="11"/>
      <c r="M35" s="9"/>
    </row>
    <row r="36" spans="1:13" ht="36" customHeight="1">
      <c r="A36" s="8">
        <v>28</v>
      </c>
      <c r="B36" s="8" t="s">
        <v>163</v>
      </c>
      <c r="C36" s="9"/>
      <c r="D36" s="53"/>
      <c r="E36" s="11"/>
      <c r="F36" s="54"/>
      <c r="G36" s="11"/>
      <c r="H36" s="9"/>
      <c r="I36" s="10"/>
      <c r="J36" s="10"/>
      <c r="K36" s="12"/>
      <c r="L36" s="11"/>
      <c r="M36" s="9"/>
    </row>
    <row r="37" spans="1:13" ht="30" customHeight="1">
      <c r="A37" s="122"/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</row>
    <row r="38" spans="1:13" ht="20.100000000000001" customHeight="1"/>
    <row r="39" spans="1:13" ht="20.100000000000001" customHeight="1"/>
    <row r="40" spans="1:13" ht="20.100000000000001" customHeight="1"/>
    <row r="41" spans="1:13" ht="20.100000000000001" customHeight="1"/>
    <row r="42" spans="1:13" ht="20.100000000000001" customHeight="1"/>
    <row r="43" spans="1:13" ht="20.100000000000001" customHeight="1"/>
    <row r="44" spans="1:13" ht="20.100000000000001" customHeight="1"/>
    <row r="45" spans="1:13" ht="20.100000000000001" customHeight="1"/>
    <row r="46" spans="1:13" ht="20.100000000000001" customHeight="1"/>
    <row r="47" spans="1:13" ht="20.100000000000001" customHeight="1"/>
    <row r="48" spans="1:13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</sheetData>
  <mergeCells count="12">
    <mergeCell ref="A1:M2"/>
    <mergeCell ref="A3:M4"/>
    <mergeCell ref="J7:L7"/>
    <mergeCell ref="A37:M37"/>
    <mergeCell ref="A6:A8"/>
    <mergeCell ref="B6:B8"/>
    <mergeCell ref="M6:M8"/>
    <mergeCell ref="C6:G6"/>
    <mergeCell ref="H6:L6"/>
    <mergeCell ref="C7:D7"/>
    <mergeCell ref="E7:G7"/>
    <mergeCell ref="H7:I7"/>
  </mergeCells>
  <hyperlinks>
    <hyperlink ref="F9" r:id="rId1" xr:uid="{00000000-0004-0000-0300-000000000000}"/>
    <hyperlink ref="K9" r:id="rId2" xr:uid="{64E263AD-5235-494F-A583-95AD4BC11F86}"/>
  </hyperlinks>
  <pageMargins left="0.75" right="0.75" top="1" bottom="1" header="0.5" footer="0.5"/>
  <pageSetup scale="42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INITIAL</vt:lpstr>
      <vt:lpstr>R, C &amp; BILL</vt:lpstr>
      <vt:lpstr>PAYMENT RECORD</vt:lpstr>
      <vt:lpstr>CUSTOMER DETAILS</vt:lpstr>
      <vt:lpstr>'PAYMENT RECORD'!Print_Area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2006-09-16T00:00:00Z</dcterms:created>
  <dcterms:modified xsi:type="dcterms:W3CDTF">2026-04-28T11:00:34Z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1033-12.2.0.13472</vt:lpwstr>
  </property>
  <property fmtid="{D5CDD505-2E9C-101B-9397-08002B2CF9AE}" pid="3" name="ICV">
    <vt:lpwstr>C363104E82144680879F78287436D729</vt:lpwstr>
  </property>
</Properties>
</file>